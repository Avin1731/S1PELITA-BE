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ject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<sst xmlns="http://schemas.openxmlformats.org/spreadsheetml/2006/main" uniqueCount="570">
  <si>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ID Dinas</t>
  </si>
  <si>
    <t>Dinas Lingkungan Hidup</t>
  </si>
  <si>
    <t>Adipura</t>
  </si>
  <si>
    <t>Adiwiyata</t>
  </si>
  <si>
    <t>Proklim</t>
  </si>
  <si>
    <t>Proper</t>
  </si>
  <si>
    <t>Kaltaparu</t>
  </si>
  <si>
    <t>Jumlah Wilayah</t>
  </si>
  <si>
    <t>Skor max</t>
  </si>
  <si>
    <t>Skor</t>
  </si>
  <si>
    <t>Jumlah Sekolah Adiwiyata</t>
  </si>
  <si>
    <t>Jumlah Desa Proklim</t>
  </si>
  <si>
    <t>Jumlah Perusahaan</t>
  </si>
  <si>
    <t>Jumlah Penerima</t>
  </si>
  <si>
    <t>Dinas Lingkungan Hidup Provinsi Aceh</t>
  </si>
  <si>
    <t>Dinas Lingkungan Hidup Provinsi Sumatera Utara</t>
  </si>
  <si>
    <t>Dinas Lingkungan Hidup Provinsi Sumatera Barat</t>
  </si>
  <si>
    <t>Dinas Lingkungan Hidup Provinsi Riau</t>
  </si>
  <si>
    <t>Dinas Lingkungan Hidup Provinsi Jambi</t>
  </si>
  <si>
    <t>Dinas Lingkungan Hidup Provinsi Sumatera Selatan</t>
  </si>
  <si>
    <t>Dinas Lingkungan Hidup Provinsi Lampung</t>
  </si>
  <si>
    <t>Dinas Lingkungan Hidup Provinsi Kepulauan Bangka Belitung</t>
  </si>
  <si>
    <t>Dinas Lingkungan Hidup Provinsi Kepulauan Riau</t>
  </si>
  <si>
    <t>Dinas Lingkungan Hidup Provinsi DKI Jakarta</t>
  </si>
  <si>
    <t>Dinas Lingkungan Hidup Provinsi Jawa Barat</t>
  </si>
  <si>
    <t>Dinas Lingkungan Hidup Provinsi Jawa Tengah</t>
  </si>
  <si>
    <t>Dinas Lingkungan Hidup Provinsi DI Yogyakarta</t>
  </si>
  <si>
    <t>Dinas Lingkungan Hidup Provinsi Jawa Timur</t>
  </si>
  <si>
    <t>Dinas Lingkungan Hidup Provinsi Banten</t>
  </si>
  <si>
    <t>Dinas Lingkungan Hidup Provinsi Bali</t>
  </si>
  <si>
    <t>Dinas Lingkungan Hidup Provinsi Nusa Tenggara Barat</t>
  </si>
  <si>
    <t>Dinas Lingkungan Hidup Provinsi Nusa Tenggara Timur</t>
  </si>
  <si>
    <t>Dinas Lingkungan Hidup Provinsi Kalimantan Barat</t>
  </si>
  <si>
    <t>Dinas Lingkungan Hidup Provinsi Kalimantan Tengah</t>
  </si>
  <si>
    <t>Dinas Lingkungan Hidup Provinsi Kalimantan Selatan</t>
  </si>
  <si>
    <t>Dinas Lingkungan Hidup Provinsi Kalimantan Timur</t>
  </si>
  <si>
    <t>Dinas Lingkungan Hidup Provinsi Kalimantan Utara</t>
  </si>
  <si>
    <t>Dinas Lingkungan Hidup Provinsi Sulawesi Utara</t>
  </si>
  <si>
    <t>Dinas Lingkungan Hidup Provinsi Sulawesi Tengah</t>
  </si>
  <si>
    <t>Dinas Lingkungan Hidup Provinsi Sulawesi Selatan</t>
  </si>
  <si>
    <t>Dinas Lingkungan Hidup Provinsi Sulawesi Tenggara</t>
  </si>
  <si>
    <t>Dinas Lingkungan Hidup Provinsi Gorontalo</t>
  </si>
  <si>
    <t>Dinas Lingkungan Hidup Provinsi Sulawesi Barat</t>
  </si>
  <si>
    <t>Dinas Lingkungan Hidup Provinsi Maluku</t>
  </si>
  <si>
    <t>Dinas Lingkungan Hidup Provinsi Maluku Utara</t>
  </si>
  <si>
    <t>Dinas Lingkungan Hidup Provinsi Papua Barat</t>
  </si>
  <si>
    <t>Dinas Lingkungan Hidup Provinsi Papua</t>
  </si>
  <si>
    <t>Dinas Lingkungan Hidup Provinsi Papua Pengunungan</t>
  </si>
  <si>
    <t>Dinas Lingkungan Hidup Provinsi Papua Selatan</t>
  </si>
  <si>
    <t>Dinas Lingkungan Hidup Provinsi Papua Tengah</t>
  </si>
  <si>
    <t>Dinas Lingkungan Hidup Provinsi Papua Barat Daya</t>
  </si>
  <si>
    <t>Dinas Lingkungan Hidup Kabupaten Aceh Barat</t>
  </si>
  <si>
    <t>Dinas Lingkungan Hidup Kabupaten Aceh Barat Daya</t>
  </si>
  <si>
    <t>Dinas Lingkungan Hidup Kabupaten Aceh Besar</t>
  </si>
  <si>
    <t>Dinas Lingkungan Hidup Kabupaten Aceh Jaya</t>
  </si>
  <si>
    <t>Dinas Lingkungan Hidup Kabupaten Aceh Selatan</t>
  </si>
  <si>
    <t>Dinas Lingkungan Hidup Kabupaten Aceh Singkil</t>
  </si>
  <si>
    <t>Dinas Lingkungan Hidup Kabupaten Aceh Tamiang</t>
  </si>
  <si>
    <t>Dinas Lingkungan Hidup Kabupaten Aceh Tengah</t>
  </si>
  <si>
    <t>Dinas Lingkungan Hidup Kabupaten Aceh Tenggara</t>
  </si>
  <si>
    <t>Dinas Lingkungan Hidup Kabupaten Aceh Timur</t>
  </si>
  <si>
    <t>Dinas Lingkungan Hidup Kabupaten Aceh Utara</t>
  </si>
  <si>
    <t>Dinas Lingkungan Hidup Kabupaten Bener Meriah</t>
  </si>
  <si>
    <t>Dinas Lingkungan Hidup Kabupaten Bireuen</t>
  </si>
  <si>
    <t>Dinas Lingkungan Hidup Kabupaten Gayo Lues</t>
  </si>
  <si>
    <t>Dinas Lingkungan Hidup Kabupaten Nagan Raya</t>
  </si>
  <si>
    <t>Dinas Lingkungan Hidup Kabupaten Pidie</t>
  </si>
  <si>
    <t>Dinas Lingkungan Hidup Kabupaten Pidie Jaya</t>
  </si>
  <si>
    <t>Dinas Lingkungan Hidup Kabupaten Simeulue</t>
  </si>
  <si>
    <t>Dinas Lingkungan Hidup Kota Banda Aceh</t>
  </si>
  <si>
    <t>Dinas Lingkungan Hidup Kota Langsa</t>
  </si>
  <si>
    <t>Dinas Lingkungan Hidup Kota Lhokseumawe</t>
  </si>
  <si>
    <t>Dinas Lingkungan Hidup Kota Sabang</t>
  </si>
  <si>
    <t>Dinas Lingkungan Hidup Kota Subulussalam</t>
  </si>
  <si>
    <t>Dinas Lingkungan Hidup Kabupaten Asahan</t>
  </si>
  <si>
    <t>Dinas Lingkungan Hidup Kabupaten Batubara</t>
  </si>
  <si>
    <t>Dinas Lingkungan Hidup Kabupaten Dairi</t>
  </si>
  <si>
    <t>Dinas Lingkungan Hidup Kabupaten Deli Serdang</t>
  </si>
  <si>
    <t>Dinas Lingkungan Hidup Kabupaten Humbang Hasundutan</t>
  </si>
  <si>
    <t>Dinas Lingkungan Hidup Kabupaten Karo</t>
  </si>
  <si>
    <t>Dinas Lingkungan Hidup Kabupaten Labuhanbatu</t>
  </si>
  <si>
    <t>Dinas Lingkungan Hidup Kabupaten Labuhanbatu Selatan</t>
  </si>
  <si>
    <t>Dinas Lingkungan Hidup Kabupaten Labuhanbatu Utara</t>
  </si>
  <si>
    <t>Dinas Lingkungan Hidup Kabupaten Langkat</t>
  </si>
  <si>
    <t>Dinas Lingkungan Hidup Kabupaten Mandailing Natal</t>
  </si>
  <si>
    <t>Dinas Lingkungan Hidup Kabupaten Nias</t>
  </si>
  <si>
    <t>Dinas Lingkungan Hidup Kabupaten Nias Barat</t>
  </si>
  <si>
    <t>Dinas Lingkungan Hidup Kabupaten Nias Selatan</t>
  </si>
  <si>
    <t>Dinas Lingkungan Hidup Kabupaten Nias Utara</t>
  </si>
  <si>
    <t>Dinas Lingkungan Hidup Kabupaten Padang Lawas</t>
  </si>
  <si>
    <t>Dinas Lingkungan Hidup Kabupaten Padang Lawas Utara</t>
  </si>
  <si>
    <t>Dinas Lingkungan Hidup Kabupaten Pakpak Bharat</t>
  </si>
  <si>
    <t>Dinas Lingkungan Hidup Kabupaten Samosir</t>
  </si>
  <si>
    <t>Dinas Lingkungan Hidup Kabupaten Serdang Bedagai</t>
  </si>
  <si>
    <t>Dinas Lingkungan Hidup Kabupaten Simalungun</t>
  </si>
  <si>
    <t>Dinas Lingkungan Hidup Kabupaten Tapanuli Selatan</t>
  </si>
  <si>
    <t>Dinas Lingkungan Hidup Kabupaten Tapanuli Tengah</t>
  </si>
  <si>
    <t>Dinas Lingkungan Hidup Kabupaten Tapanuli Utara</t>
  </si>
  <si>
    <t>Dinas Lingkungan Hidup Kabupaten Toba</t>
  </si>
  <si>
    <t>Dinas Lingkungan Hidup Kota Binjai</t>
  </si>
  <si>
    <t>Dinas Lingkungan Hidup Kota Gunungsitoli</t>
  </si>
  <si>
    <t>Dinas Lingkungan Hidup Kota Medan</t>
  </si>
  <si>
    <t>Dinas Lingkungan Hidup Kota Padangsidimpuan</t>
  </si>
  <si>
    <t>Dinas Lingkungan Hidup Kota Pematangsiantar</t>
  </si>
  <si>
    <t>Dinas Lingkungan Hidup Kota Sibolga</t>
  </si>
  <si>
    <t>Dinas Lingkungan Hidup Kota Tanjungbalai</t>
  </si>
  <si>
    <t>Dinas Lingkungan Hidup Kota Tebing Tinggi</t>
  </si>
  <si>
    <t>Dinas Lingkungan Hidup Kabupaten Agam</t>
  </si>
  <si>
    <t>Dinas Lingkungan Hidup Kabupaten Dharmasraya</t>
  </si>
  <si>
    <t>Dinas Lingkungan Hidup Kabupaten Kepulauan Mentawai</t>
  </si>
  <si>
    <t>Dinas Lingkungan Hidup Kabupaten Lima Puluh Kota</t>
  </si>
  <si>
    <t>Dinas Lingkungan Hidup Kabupaten Padang Pariaman</t>
  </si>
  <si>
    <t>Dinas Lingkungan Hidup Kabupaten Pasaman</t>
  </si>
  <si>
    <t>Dinas Lingkungan Hidup Kabupaten Pasaman Barat</t>
  </si>
  <si>
    <t>Dinas Lingkungan Hidup Kabupaten Pesisir Selatan</t>
  </si>
  <si>
    <t>Dinas Lingkungan Hidup Kabupaten Sijunjung</t>
  </si>
  <si>
    <t>Dinas Lingkungan Hidup Kabupaten Solok</t>
  </si>
  <si>
    <t>Dinas Lingkungan Hidup Kabupaten Solok Selatan</t>
  </si>
  <si>
    <t>Dinas Lingkungan Hidup Kabupaten Tanah Datar</t>
  </si>
  <si>
    <t>Dinas Lingkungan Hidup Kota Bukittinggi</t>
  </si>
  <si>
    <t>Dinas Lingkungan Hidup Kota Padang</t>
  </si>
  <si>
    <t>Dinas Lingkungan Hidup Kota Padang Panjang</t>
  </si>
  <si>
    <t>Dinas Lingkungan Hidup Kota Pariaman</t>
  </si>
  <si>
    <t>Dinas Lingkungan Hidup Kota Payakumbuh</t>
  </si>
  <si>
    <t>Dinas Lingkungan Hidup Kota Sawahlunto</t>
  </si>
  <si>
    <t>Dinas Lingkungan Hidup Kota Solok</t>
  </si>
  <si>
    <t>Dinas Lingkungan Hidup Kabupaten Bengkalis</t>
  </si>
  <si>
    <t>Dinas Lingkungan Hidup Kabupaten Indragiri Hilir</t>
  </si>
  <si>
    <t>Dinas Lingkungan Hidup Kabupaten Indragiri Hulu</t>
  </si>
  <si>
    <t>Dinas Lingkungan Hidup Kabupaten Kampar</t>
  </si>
  <si>
    <t>Dinas Lingkungan Hidup Kabupaten Kepulauan Meranti</t>
  </si>
  <si>
    <t>Dinas Lingkungan Hidup Kabupaten Kuantan Singingi</t>
  </si>
  <si>
    <t>Dinas Lingkungan Hidup Kabupaten Pelalawan</t>
  </si>
  <si>
    <t>Dinas Lingkungan Hidup Kabupaten Rokan Hilir</t>
  </si>
  <si>
    <t>Dinas Lingkungan Hidup Kabupaten Rokan Hulu</t>
  </si>
  <si>
    <t>Dinas Lingkungan Hidup Kabupaten Siak</t>
  </si>
  <si>
    <t>Dinas Lingkungan Hidup Kota Dumai</t>
  </si>
  <si>
    <t>Dinas Lingkungan Hidup Kota Pekanbaru</t>
  </si>
  <si>
    <t>Dinas Lingkungan Hidup Kabupaten Batanghari</t>
  </si>
  <si>
    <t>Dinas Lingkungan Hidup Kabupaten Bungo</t>
  </si>
  <si>
    <t>Dinas Lingkungan Hidup Kabupaten Kerinci</t>
  </si>
  <si>
    <t>Dinas Lingkungan Hidup Kabupaten Merangin</t>
  </si>
  <si>
    <t>Dinas Lingkungan Hidup Kabupaten Muaro Jambi</t>
  </si>
  <si>
    <t>Dinas Lingkungan Hidup Kabupaten Sarolangun</t>
  </si>
  <si>
    <t>Dinas Lingkungan Hidup Kabupaten Tanjung Jabung Barat</t>
  </si>
  <si>
    <t>Dinas Lingkungan Hidup Kabupaten Tanjung Jabung Timur</t>
  </si>
  <si>
    <t>Dinas Lingkungan Hidup Kabupaten Tebo</t>
  </si>
  <si>
    <t>Dinas Lingkungan Hidup Kota Jambi</t>
  </si>
  <si>
    <t>Dinas Lingkungan Hidup Kota Sungai Penuh</t>
  </si>
  <si>
    <t>Dinas Lingkungan Hidup Kabupaten Banyuasin</t>
  </si>
  <si>
    <t>Dinas Lingkungan Hidup Kabupaten Empat Lawang</t>
  </si>
  <si>
    <t>Dinas Lingkungan Hidup Kabupaten Lahat</t>
  </si>
  <si>
    <t>Dinas Lingkungan Hidup Kabupaten Muara Enim</t>
  </si>
  <si>
    <t>Dinas Lingkungan Hidup Kabupaten Musi Banyuasin</t>
  </si>
  <si>
    <t>Dinas Lingkungan Hidup Kabupaten Musi Rawas</t>
  </si>
  <si>
    <t>Dinas Lingkungan Hidup Kabupaten Musi Rawas Utara</t>
  </si>
  <si>
    <t>Dinas Lingkungan Hidup Kabupaten Ogan Ilir</t>
  </si>
  <si>
    <t>Dinas Lingkungan Hidup Kabupaten Ogan Komering Ilir</t>
  </si>
  <si>
    <t>Dinas Lingkungan Hidup Kabupaten Ogan Komering Ulu</t>
  </si>
  <si>
    <t>Dinas Lingkungan Hidup Kabupaten Ogan Komering Ulu Selatan</t>
  </si>
  <si>
    <t>Dinas Lingkungan Hidup Kabupaten Ogan Komering Ulu Timur</t>
  </si>
  <si>
    <t>Dinas Lingkungan Hidup Kabupaten Penukal Abab Lematang Ilir</t>
  </si>
  <si>
    <t>Dinas Lingkungan Hidup Kota Lubuklinggau</t>
  </si>
  <si>
    <t>Dinas Lingkungan Hidup Kota Pagar Alam</t>
  </si>
  <si>
    <t>Dinas Lingkungan Hidup Kota Palembang</t>
  </si>
  <si>
    <t>Dinas Lingkungan Hidup Kota Prabumulih</t>
  </si>
  <si>
    <t>Dinas Lingkungan Hidup Kabupaten Bengkulu Selatan</t>
  </si>
  <si>
    <t>Dinas Lingkungan Hidup Kabupaten Bengkulu Tengah</t>
  </si>
  <si>
    <t>Dinas Lingkungan Hidup Kabupaten Bengkulu Utara</t>
  </si>
  <si>
    <t>Dinas Lingkungan Hidup Kabupaten Kaur</t>
  </si>
  <si>
    <t>Dinas Lingkungan Hidup Kabupaten Kepahiang</t>
  </si>
  <si>
    <t>Dinas Lingkungan Hidup Kabupaten Lebong</t>
  </si>
  <si>
    <t>Dinas Lingkungan Hidup Kabupaten Mukomuko</t>
  </si>
  <si>
    <t>Dinas Lingkungan Hidup Kabupaten Rejang Lebong</t>
  </si>
  <si>
    <t>Dinas Lingkungan Hidup Kabupaten Seluma</t>
  </si>
  <si>
    <t>Dinas Lingkungan Hidup Kota Bengkulu</t>
  </si>
  <si>
    <t>Dinas Lingkungan Hidup Kabupaten Lampung Barat</t>
  </si>
  <si>
    <t>Dinas Lingkungan Hidup Kabupaten Lampung Selatan</t>
  </si>
  <si>
    <t>Dinas Lingkungan Hidup Kabupaten Lampung Tengah</t>
  </si>
  <si>
    <t>Dinas Lingkungan Hidup Kabupaten Lampung Timur</t>
  </si>
  <si>
    <t>Dinas Lingkungan Hidup Kabupaten Lampung Utara</t>
  </si>
  <si>
    <t>Dinas Lingkungan Hidup Kabupaten Mesuji</t>
  </si>
  <si>
    <t>Dinas Lingkungan Hidup Kabupaten Pesawaran</t>
  </si>
  <si>
    <t>Dinas Lingkungan Hidup Kabupaten Pesisir Barat</t>
  </si>
  <si>
    <t>Dinas Lingkungan Hidup Kabupaten Pringsewu</t>
  </si>
  <si>
    <t>Dinas Lingkungan Hidup Kabupaten Tanggamus</t>
  </si>
  <si>
    <t>Dinas Lingkungan Hidup Kabupaten Tulang Bawang</t>
  </si>
  <si>
    <t>Dinas Lingkungan Hidup Kabupaten Tulang Bawang Barat</t>
  </si>
  <si>
    <t>Dinas Lingkungan Hidup Kabupaten Way Kanan</t>
  </si>
  <si>
    <t>Dinas Lingkungan Hidup Kota Bandar Lampung</t>
  </si>
  <si>
    <t>Dinas Lingkungan Hidup Kota Metro</t>
  </si>
  <si>
    <t>Dinas Lingkungan Hidup Kabupaten Bangka</t>
  </si>
  <si>
    <t>Dinas Lingkungan Hidup Kabupaten Bangka Barat</t>
  </si>
  <si>
    <t>Dinas Lingkungan Hidup Kabupaten Bangka Selatan</t>
  </si>
  <si>
    <t>Dinas Lingkungan Hidup Kabupaten Bangka Tengah</t>
  </si>
  <si>
    <t>Dinas Lingkungan Hidup Kabupaten Belitung</t>
  </si>
  <si>
    <t>Dinas Lingkungan Hidup Kabupaten Belitung Timur</t>
  </si>
  <si>
    <t>Dinas Lingkungan Hidup Kota Pangkal Pinang</t>
  </si>
  <si>
    <t>Dinas Lingkungan Hidup Kabupaten Bintan</t>
  </si>
  <si>
    <t>Dinas Lingkungan Hidup Kabupaten Karimun</t>
  </si>
  <si>
    <t>Dinas Lingkungan Hidup Kabupaten Kepulauan Anambas</t>
  </si>
  <si>
    <t>Dinas Lingkungan Hidup Kabupaten Lingga</t>
  </si>
  <si>
    <t>Dinas Lingkungan Hidup Kabupaten Natuna</t>
  </si>
  <si>
    <t>Dinas Lingkungan Hidup Kota Batam</t>
  </si>
  <si>
    <t>Dinas Lingkungan Hidup Kota Tanjung Pinang</t>
  </si>
  <si>
    <t>Dinas Lingkungan Hidup Kota Jakarta Barat</t>
  </si>
  <si>
    <t>Dinas Lingkungan Hidup Kota Jakarta Pusat</t>
  </si>
  <si>
    <t>Dinas Lingkungan Hidup Kota Jakarta Selatan</t>
  </si>
  <si>
    <t>Dinas Lingkungan Hidup Kota Jakarta Timur</t>
  </si>
  <si>
    <t>Dinas Lingkungan Hidup Kota Jakarta Utara</t>
  </si>
  <si>
    <t>Dinas Lingkungan Hidup Kabupaten Kepulauan Seribu</t>
  </si>
  <si>
    <t>Dinas Lingkungan Hidup Kabupaten Bandung</t>
  </si>
  <si>
    <t>Dinas Lingkungan Hidup Kabupaten Bandung Barat</t>
  </si>
  <si>
    <t>Dinas Lingkungan Hidup Kabupaten Bekasi</t>
  </si>
  <si>
    <t>Dinas Lingkungan Hidup Kabupaten Bogor</t>
  </si>
  <si>
    <t>Dinas Lingkungan Hidup Kabupaten Ciamis</t>
  </si>
  <si>
    <t>Dinas Lingkungan Hidup Kabupaten Cianjur</t>
  </si>
  <si>
    <t>Dinas Lingkungan Hidup Kabupaten Cirebon</t>
  </si>
  <si>
    <t>Dinas Lingkungan Hidup Kabupaten Garut</t>
  </si>
  <si>
    <t>Dinas Lingkungan Hidup Kabupaten Indramayu</t>
  </si>
  <si>
    <t>Dinas Lingkungan Hidup Kabupaten Karawang</t>
  </si>
  <si>
    <t>Dinas Lingkungan Hidup Kabupaten Kuningan</t>
  </si>
  <si>
    <t>Dinas Lingkungan Hidup Kabupaten Majalengka</t>
  </si>
  <si>
    <t>Dinas Lingkungan Hidup Kabupaten Pangandaran</t>
  </si>
  <si>
    <t>Dinas Lingkungan Hidup Kabupaten Purwakarta</t>
  </si>
  <si>
    <t>Dinas Lingkungan Hidup Kabupaten Subang</t>
  </si>
  <si>
    <t>Dinas Lingkungan Hidup Kabupaten Sukabumi</t>
  </si>
  <si>
    <t>Dinas Lingkungan Hidup Kabupaten Sumedang</t>
  </si>
  <si>
    <t>Dinas Lingkungan Hidup Kabupaten Tasikmalaya</t>
  </si>
  <si>
    <t>Dinas Lingkungan Hidup Kota Bandung</t>
  </si>
  <si>
    <t>Dinas Lingkungan Hidup Kota Banjar</t>
  </si>
  <si>
    <t>Dinas Lingkungan Hidup Kota Bekasi</t>
  </si>
  <si>
    <t>Dinas Lingkungan Hidup Kota Bogor</t>
  </si>
  <si>
    <t>Dinas Lingkungan Hidup Kota Cimahi</t>
  </si>
  <si>
    <t>Dinas Lingkungan Hidup Kota Cirebon</t>
  </si>
  <si>
    <t>Dinas Lingkungan Hidup Kota Depok</t>
  </si>
  <si>
    <t>Dinas Lingkungan Hidup Kota Sukabumi</t>
  </si>
  <si>
    <t>Dinas Lingkungan Hidup Kota Tasikmalaya</t>
  </si>
  <si>
    <t>Dinas Lingkungan Hidup Kabupaten Banjarnegara</t>
  </si>
  <si>
    <t>Dinas Lingkungan Hidup Kabupaten Banyumas</t>
  </si>
  <si>
    <t>Dinas Lingkungan Hidup Kabupaten Batang</t>
  </si>
  <si>
    <t>Dinas Lingkungan Hidup Kabupaten Blora</t>
  </si>
  <si>
    <t>Dinas Lingkungan Hidup Kabupaten Boyolali</t>
  </si>
  <si>
    <t>Dinas Lingkungan Hidup Kabupaten Brebes</t>
  </si>
  <si>
    <t>Dinas Lingkungan Hidup Kabupaten Cilacap</t>
  </si>
  <si>
    <t>Dinas Lingkungan Hidup Kabupaten Demak</t>
  </si>
  <si>
    <t>Dinas Lingkungan Hidup Kabupaten Grobogan</t>
  </si>
  <si>
    <t>Dinas Lingkungan Hidup Kabupaten Jepara</t>
  </si>
  <si>
    <t>Dinas Lingkungan Hidup Kabupaten Karanganyar</t>
  </si>
  <si>
    <t>Dinas Lingkungan Hidup Kabupaten Kebumen</t>
  </si>
  <si>
    <t>Dinas Lingkungan Hidup Kabupaten Kendal</t>
  </si>
  <si>
    <t>Dinas Lingkungan Hidup Kabupaten Klaten</t>
  </si>
  <si>
    <t>Dinas Lingkungan Hidup Kabupaten Kudus</t>
  </si>
  <si>
    <t>Dinas Lingkungan Hidup Kabupaten Magelang</t>
  </si>
  <si>
    <t>Dinas Lingkungan Hidup Kabupaten Pati</t>
  </si>
  <si>
    <t>Dinas Lingkungan Hidup Kabupaten Pekalongan</t>
  </si>
  <si>
    <t>Dinas Lingkungan Hidup Kabupaten Pemalang</t>
  </si>
  <si>
    <t>Dinas Lingkungan Hidup Kabupaten Purbalingga</t>
  </si>
  <si>
    <t>Dinas Lingkungan Hidup Kabupaten Purworejo</t>
  </si>
  <si>
    <t>Dinas Lingkungan Hidup Kabupaten Rembang</t>
  </si>
  <si>
    <t>Dinas Lingkungan Hidup Kabupaten Semarang</t>
  </si>
  <si>
    <t>Dinas Lingkungan Hidup Kabupaten Sragen</t>
  </si>
  <si>
    <t>Dinas Lingkungan Hidup Kabupaten Sukoharjo</t>
  </si>
  <si>
    <t>Dinas Lingkungan Hidup Kabupaten Tegal</t>
  </si>
  <si>
    <t>Dinas Lingkungan Hidup Kabupaten Temanggung</t>
  </si>
  <si>
    <t>Dinas Lingkungan Hidup Kabupaten Wonogiri</t>
  </si>
  <si>
    <t>Dinas Lingkungan Hidup Kabupaten Wonosobo</t>
  </si>
  <si>
    <t>Dinas Lingkungan Hidup Kota Magelang</t>
  </si>
  <si>
    <t>Dinas Lingkungan Hidup Kota Pekalongan</t>
  </si>
  <si>
    <t>Dinas Lingkungan Hidup Kota Salatiga</t>
  </si>
  <si>
    <t>Dinas Lingkungan Hidup Kota Semarang</t>
  </si>
  <si>
    <t>Dinas Lingkungan Hidup Kota Surakarta</t>
  </si>
  <si>
    <t>Dinas Lingkungan Hidup Kota Tegal</t>
  </si>
  <si>
    <t>Dinas Lingkungan Hidup Kabupaten Bantul</t>
  </si>
  <si>
    <t>Dinas Lingkungan Hidup Kabupaten Gunungkidul</t>
  </si>
  <si>
    <t>Dinas Lingkungan Hidup Kabupaten Kulon Progo</t>
  </si>
  <si>
    <t>Dinas Lingkungan Hidup Kabupaten Sleman</t>
  </si>
  <si>
    <t>Dinas Lingkungan Hidup Kota Yogyakarta</t>
  </si>
  <si>
    <t>Dinas Lingkungan Hidup Kabupaten Bangkalan</t>
  </si>
  <si>
    <t>Dinas Lingkungan Hidup Kabupaten Banyuwangi</t>
  </si>
  <si>
    <t>Dinas Lingkungan Hidup Kabupaten Blitar</t>
  </si>
  <si>
    <t>Dinas Lingkungan Hidup Kabupaten Bojonegoro</t>
  </si>
  <si>
    <t>Dinas Lingkungan Hidup Kabupaten Bondowoso</t>
  </si>
  <si>
    <t>Dinas Lingkungan Hidup Kabupaten Gresik</t>
  </si>
  <si>
    <t>Dinas Lingkungan Hidup Kabupaten Jember</t>
  </si>
  <si>
    <t>Dinas Lingkungan Hidup Kabupaten Jombang</t>
  </si>
  <si>
    <t>Dinas Lingkungan Hidup Kabupaten Kediri</t>
  </si>
  <si>
    <t>Dinas Lingkungan Hidup Kabupaten Lamongan</t>
  </si>
  <si>
    <t>Dinas Lingkungan Hidup Kabupaten Lumajang</t>
  </si>
  <si>
    <t>Dinas Lingkungan Hidup Kabupaten Madiun</t>
  </si>
  <si>
    <t>Dinas Lingkungan Hidup Kabupaten Magetan</t>
  </si>
  <si>
    <t>Dinas Lingkungan Hidup Kabupaten Malang</t>
  </si>
  <si>
    <t>Dinas Lingkungan Hidup Kabupaten Mojokerto</t>
  </si>
  <si>
    <t>Dinas Lingkungan Hidup Kabupaten Nganjuk</t>
  </si>
  <si>
    <t>Dinas Lingkungan Hidup Kabupaten Ngawi</t>
  </si>
  <si>
    <t>Dinas Lingkungan Hidup Kabupaten Pacitan</t>
  </si>
  <si>
    <t>Dinas Lingkungan Hidup Kabupaten Pamekasan</t>
  </si>
  <si>
    <t>Dinas Lingkungan Hidup Kabupaten Pasuruan</t>
  </si>
  <si>
    <t>Dinas Lingkungan Hidup Kabupaten Ponorogo</t>
  </si>
  <si>
    <t>Dinas Lingkungan Hidup Kabupaten Probolinggo</t>
  </si>
  <si>
    <t>Dinas Lingkungan Hidup Kabupaten Sampang</t>
  </si>
  <si>
    <t>Dinas Lingkungan Hidup Kabupaten Sidoarjo</t>
  </si>
  <si>
    <t>Dinas Lingkungan Hidup Kabupaten Situbondo</t>
  </si>
  <si>
    <t>Dinas Lingkungan Hidup Kabupaten Sumenep</t>
  </si>
  <si>
    <t>Dinas Lingkungan Hidup Kabupaten Trenggalek</t>
  </si>
  <si>
    <t>Dinas Lingkungan Hidup Kabupaten Tuban</t>
  </si>
  <si>
    <t>Dinas Lingkungan Hidup Kabupaten Tulungagung</t>
  </si>
  <si>
    <t>Dinas Lingkungan Hidup Kota Batu</t>
  </si>
  <si>
    <t>Dinas Lingkungan Hidup Kota Blitar</t>
  </si>
  <si>
    <t>Dinas Lingkungan Hidup Kota Kediri</t>
  </si>
  <si>
    <t>Dinas Lingkungan Hidup Kota Madiun</t>
  </si>
  <si>
    <t>Dinas Lingkungan Hidup Kota Malang</t>
  </si>
  <si>
    <t>Dinas Lingkungan Hidup Kota Mojokerto</t>
  </si>
  <si>
    <t>Dinas Lingkungan Hidup Kota Pasuruan</t>
  </si>
  <si>
    <t>Dinas Lingkungan Hidup Kota Probolinggo</t>
  </si>
  <si>
    <t>Dinas Lingkungan Hidup Kota Surabaya</t>
  </si>
  <si>
    <t>Dinas Lingkungan Hidup Kabupaten Lebak</t>
  </si>
  <si>
    <t>Dinas Lingkungan Hidup Kabupaten Pandeglang</t>
  </si>
  <si>
    <t>Dinas Lingkungan Hidup Kabupaten Serang</t>
  </si>
  <si>
    <t>Dinas Lingkungan Hidup Kabupaten Tangerang</t>
  </si>
  <si>
    <t>Dinas Lingkungan Hidup Kota Cilegon</t>
  </si>
  <si>
    <t>Dinas Lingkungan Hidup Kota Serang</t>
  </si>
  <si>
    <t>Dinas Lingkungan Hidup Kota Tangerang</t>
  </si>
  <si>
    <t>Dinas Lingkungan Hidup Kota Tangerang Selatan</t>
  </si>
  <si>
    <t>Dinas Lingkungan Hidup Kabupaten Badung</t>
  </si>
  <si>
    <t>Dinas Lingkungan Hidup Kabupaten Bangli</t>
  </si>
  <si>
    <t>Dinas Lingkungan Hidup Kabupaten Buleleng</t>
  </si>
  <si>
    <t>Dinas Lingkungan Hidup Kabupaten Gianyar</t>
  </si>
  <si>
    <t>Dinas Lingkungan Hidup Kabupaten Jembrana</t>
  </si>
  <si>
    <t>Dinas Lingkungan Hidup Kabupaten Karangasem</t>
  </si>
  <si>
    <t>Dinas Lingkungan Hidup Kabupaten Klungkung</t>
  </si>
  <si>
    <t>Dinas Lingkungan Hidup Kabupaten Tabanan</t>
  </si>
  <si>
    <t>Dinas Lingkungan Hidup Kota Denpasar</t>
  </si>
  <si>
    <t>Dinas Lingkungan Hidup Kabupaten Bima</t>
  </si>
  <si>
    <t>Dinas Lingkungan Hidup Kabupaten Dompu</t>
  </si>
  <si>
    <t>Dinas Lingkungan Hidup Kabupaten Lombok Barat</t>
  </si>
  <si>
    <t>Dinas Lingkungan Hidup Kabupaten Lombok Tengah</t>
  </si>
  <si>
    <t>Dinas Lingkungan Hidup Kabupaten Lombok Timur</t>
  </si>
  <si>
    <t>Dinas Lingkungan Hidup Kabupaten Lombok Utara</t>
  </si>
  <si>
    <t>Dinas Lingkungan Hidup Kabupaten Sumbawa</t>
  </si>
  <si>
    <t>Dinas Lingkungan Hidup Kabupaten Sumbawa Barat</t>
  </si>
  <si>
    <t>Dinas Lingkungan Hidup Kota Bima</t>
  </si>
  <si>
    <t>Dinas Lingkungan Hidup Kota Mataram</t>
  </si>
  <si>
    <t>Dinas Lingkungan Hidup Kabupaten Alor</t>
  </si>
  <si>
    <t>Dinas Lingkungan Hidup Kabupaten Belu</t>
  </si>
  <si>
    <t>Dinas Lingkungan Hidup Kabupaten Ende</t>
  </si>
  <si>
    <t>Dinas Lingkungan Hidup Kabupaten Flores Timur</t>
  </si>
  <si>
    <t>Dinas Lingkungan Hidup Kabupaten Kupang</t>
  </si>
  <si>
    <t>Dinas Lingkungan Hidup Kabupaten Lembata</t>
  </si>
  <si>
    <t>Dinas Lingkungan Hidup Kabupaten Malaka</t>
  </si>
  <si>
    <t>Dinas Lingkungan Hidup Kabupaten Manggarai</t>
  </si>
  <si>
    <t>Dinas Lingkungan Hidup Kabupaten Manggarai Barat</t>
  </si>
  <si>
    <t>Dinas Lingkungan Hidup Kabupaten Manggarai Timur</t>
  </si>
  <si>
    <t>Dinas Lingkungan Hidup Kabupaten Nagekeo</t>
  </si>
  <si>
    <t>Dinas Lingkungan Hidup Kabupaten Ngada</t>
  </si>
  <si>
    <t>Dinas Lingkungan Hidup Kabupaten Rote Ndao</t>
  </si>
  <si>
    <t>Dinas Lingkungan Hidup Kabupaten Sabu Raijua</t>
  </si>
  <si>
    <t>Dinas Lingkungan Hidup Kabupaten Sikka</t>
  </si>
  <si>
    <t>Dinas Lingkungan Hidup Kabupaten Sumba Barat</t>
  </si>
  <si>
    <t>Dinas Lingkungan Hidup Kabupaten Sumba Barat Daya</t>
  </si>
  <si>
    <t>Dinas Lingkungan Hidup Kabupaten Sumba Tengah</t>
  </si>
  <si>
    <t>Dinas Lingkungan Hidup Kabupaten Sumba Timur</t>
  </si>
  <si>
    <t>Dinas Lingkungan Hidup Kabupaten Timor Tengah Selatan</t>
  </si>
  <si>
    <t>Dinas Lingkungan Hidup Kabupaten Timor Tengah Utara</t>
  </si>
  <si>
    <t>Dinas Lingkungan Hidup Kota Kupang</t>
  </si>
  <si>
    <t>Dinas Lingkungan Hidup Kabupaten Bengkayang</t>
  </si>
  <si>
    <t>Dinas Lingkungan Hidup Kabupaten Kapuas Hulu</t>
  </si>
  <si>
    <t>Dinas Lingkungan Hidup Kabupaten Kayong Utara</t>
  </si>
  <si>
    <t>Dinas Lingkungan Hidup Kabupaten Ketapang</t>
  </si>
  <si>
    <t>Dinas Lingkungan Hidup Kabupaten Kubu Raya</t>
  </si>
  <si>
    <t>Dinas Lingkungan Hidup Kabupaten Landak</t>
  </si>
  <si>
    <t>Dinas Lingkungan Hidup Kabupaten Melawi</t>
  </si>
  <si>
    <t>Dinas Lingkungan Hidup Kabupaten Mempawah</t>
  </si>
  <si>
    <t>Dinas Lingkungan Hidup Kabupaten Sambas</t>
  </si>
  <si>
    <t>Dinas Lingkungan Hidup Kabupaten Sanggau</t>
  </si>
  <si>
    <t>Dinas Lingkungan Hidup Kabupaten Sekadau</t>
  </si>
  <si>
    <t>Dinas Lingkungan Hidup Kabupaten Sintang</t>
  </si>
  <si>
    <t>Dinas Lingkungan Hidup Kota Pontianak</t>
  </si>
  <si>
    <t>Dinas Lingkungan Hidup Kota Singkawang</t>
  </si>
  <si>
    <t>Dinas Lingkungan Hidup Kabupaten Barito Selatan</t>
  </si>
  <si>
    <t>Dinas Lingkungan Hidup Kabupaten Barito Timur</t>
  </si>
  <si>
    <t>Dinas Lingkungan Hidup Kabupaten Barito Utara</t>
  </si>
  <si>
    <t>Dinas Lingkungan Hidup Kabupaten Gunung Mas</t>
  </si>
  <si>
    <t>Dinas Lingkungan Hidup Kabupaten Kapuas</t>
  </si>
  <si>
    <t>Dinas Lingkungan Hidup Kabupaten Katingan</t>
  </si>
  <si>
    <t>Dinas Lingkungan Hidup Kabupaten Kotawaringin Barat</t>
  </si>
  <si>
    <t>Dinas Lingkungan Hidup Kabupaten Kotawaringin Timur</t>
  </si>
  <si>
    <t>Dinas Lingkungan Hidup Kabupaten Lamandau</t>
  </si>
  <si>
    <t>Dinas Lingkungan Hidup Kabupaten Murung Raya</t>
  </si>
  <si>
    <t>Dinas Lingkungan Hidup Kabupaten Pulang Pisau</t>
  </si>
  <si>
    <t>Dinas Lingkungan Hidup Kabupaten Seruyan</t>
  </si>
  <si>
    <t>Dinas Lingkungan Hidup Kabupaten Sukamara</t>
  </si>
  <si>
    <t>Dinas Lingkungan Hidup Kota Palangka Raya</t>
  </si>
  <si>
    <t>Dinas Lingkungan Hidup Kabupaten Balangan</t>
  </si>
  <si>
    <t>Dinas Lingkungan Hidup Kabupaten Banjar</t>
  </si>
  <si>
    <t>Dinas Lingkungan Hidup Kabupaten Barito Kuala</t>
  </si>
  <si>
    <t>Dinas Lingkungan Hidup Kabupaten Hulu Sungai Selatan</t>
  </si>
  <si>
    <t>Dinas Lingkungan Hidup Kabupaten Hulu Sungai Tengah</t>
  </si>
  <si>
    <t>Dinas Lingkungan Hidup Kabupaten Hulu Sungai Utara</t>
  </si>
  <si>
    <t>Dinas Lingkungan Hidup Kabupaten Kotabaru</t>
  </si>
  <si>
    <t>Dinas Lingkungan Hidup Kabupaten Tabalong</t>
  </si>
  <si>
    <t>Dinas Lingkungan Hidup Kabupaten Tanah Bumbu</t>
  </si>
  <si>
    <t>Dinas Lingkungan Hidup Kabupaten Tanah Laut</t>
  </si>
  <si>
    <t>Dinas Lingkungan Hidup Kabupaten Tapin</t>
  </si>
  <si>
    <t>Dinas Lingkungan Hidup Kota Banjarbaru</t>
  </si>
  <si>
    <t>Dinas Lingkungan Hidup Kota Banjarmasin</t>
  </si>
  <si>
    <t>Dinas Lingkungan Hidup Kabupaten Berau</t>
  </si>
  <si>
    <t>Dinas Lingkungan Hidup Kabupaten Kutai Barat</t>
  </si>
  <si>
    <t>Dinas Lingkungan Hidup Kabupaten Kutai Kartanegara</t>
  </si>
  <si>
    <t>Dinas Lingkungan Hidup Kabupaten Kutai Timur</t>
  </si>
  <si>
    <t>Dinas Lingkungan Hidup Kabupaten Mahakam Ulu</t>
  </si>
  <si>
    <t>Dinas Lingkungan Hidup Kabupaten Paser</t>
  </si>
  <si>
    <t>Dinas Lingkungan Hidup Kabupaten Penajam Paser Utara</t>
  </si>
  <si>
    <t>Dinas Lingkungan Hidup Kota Balikpapan</t>
  </si>
  <si>
    <t>Dinas Lingkungan Hidup Kota Bontang</t>
  </si>
  <si>
    <t>Dinas Lingkungan Hidup Kota Samarinda</t>
  </si>
  <si>
    <t>Dinas Lingkungan Hidup Kabupaten Bulungan</t>
  </si>
  <si>
    <t>Dinas Lingkungan Hidup Kabupaten Malinau</t>
  </si>
  <si>
    <t>Dinas Lingkungan Hidup Kabupaten Nunukan</t>
  </si>
  <si>
    <t>Dinas Lingkungan Hidup Kabupaten Tana Tidung</t>
  </si>
  <si>
    <t>Dinas Lingkungan Hidup Kota Tarakan</t>
  </si>
  <si>
    <t>Dinas Lingkungan Hidup Kabupaten Bolaang Mongondow</t>
  </si>
  <si>
    <t>Dinas Lingkungan Hidup Kabupaten Bolaang Mongondow Selatan</t>
  </si>
  <si>
    <t>Dinas Lingkungan Hidup Kabupaten Bolaang Mongondow Timur</t>
  </si>
  <si>
    <t>Dinas Lingkungan Hidup Kabupaten Bolaang Mongondow Utara</t>
  </si>
  <si>
    <t>Dinas Lingkungan Hidup Kabupaten Kepulauan Sangihe</t>
  </si>
  <si>
    <t>Dinas Lingkungan Hidup Kabupaten Kepulauan Siau Tagulandang Biaro</t>
  </si>
  <si>
    <t>Dinas Lingkungan Hidup Kabupaten Kepulauan Talaud</t>
  </si>
  <si>
    <t>Dinas Lingkungan Hidup Kabupaten Minahasa</t>
  </si>
  <si>
    <t>Dinas Lingkungan Hidup Kabupaten Minahasa Selatan</t>
  </si>
  <si>
    <t>Dinas Lingkungan Hidup Kabupaten Minahasa Tenggara</t>
  </si>
  <si>
    <t>Dinas Lingkungan Hidup Kabupaten Minahasa Utara</t>
  </si>
  <si>
    <t>Dinas Lingkungan Hidup Kota Bitung</t>
  </si>
  <si>
    <t>Dinas Lingkungan Hidup Kota Kotamobagu</t>
  </si>
  <si>
    <t>Dinas Lingkungan Hidup Kota Manado</t>
  </si>
  <si>
    <t>Dinas Lingkungan Hidup Kota Tomohon</t>
  </si>
  <si>
    <t>Dinas Lingkungan Hidup Kabupaten Banggai</t>
  </si>
  <si>
    <t>Dinas Lingkungan Hidup Kabupaten Banggai Kepulauan</t>
  </si>
  <si>
    <t>Dinas Lingkungan Hidup Kabupaten Banggai Laut</t>
  </si>
  <si>
    <t>Dinas Lingkungan Hidup Kabupaten Buol</t>
  </si>
  <si>
    <t>Dinas Lingkungan Hidup Kabupaten Donggala</t>
  </si>
  <si>
    <t>Dinas Lingkungan Hidup Kabupaten Morowali</t>
  </si>
  <si>
    <t>Dinas Lingkungan Hidup Kabupaten Morowali Utara</t>
  </si>
  <si>
    <t>Dinas Lingkungan Hidup Kabupaten Parigi Moutong</t>
  </si>
  <si>
    <t>Dinas Lingkungan Hidup Kabupaten Poso</t>
  </si>
  <si>
    <t>Dinas Lingkungan Hidup Kabupaten Sigi</t>
  </si>
  <si>
    <t>Dinas Lingkungan Hidup Kabupaten Tojo Una-Una</t>
  </si>
  <si>
    <t>Dinas Lingkungan Hidup Kabupaten Toli-Toli</t>
  </si>
  <si>
    <t>Dinas Lingkungan Hidup Kota Palu</t>
  </si>
  <si>
    <t>Dinas Lingkungan Hidup Kabupaten Bantaeng</t>
  </si>
  <si>
    <t>Dinas Lingkungan Hidup Kabupaten Barru</t>
  </si>
  <si>
    <t>Dinas Lingkungan Hidup Kabupaten Bone</t>
  </si>
  <si>
    <t>Dinas Lingkungan Hidup Kabupaten Bulukumba</t>
  </si>
  <si>
    <t>Dinas Lingkungan Hidup Kabupaten Enrekang</t>
  </si>
  <si>
    <t>Dinas Lingkungan Hidup Kabupaten Gowa</t>
  </si>
  <si>
    <t>Dinas Lingkungan Hidup Kabupaten Jeneponto</t>
  </si>
  <si>
    <t>Dinas Lingkungan Hidup Kabupaten Kepulauan Selayar</t>
  </si>
  <si>
    <t>Dinas Lingkungan Hidup Kabupaten Luwu</t>
  </si>
  <si>
    <t>Dinas Lingkungan Hidup Kabupaten Luwu Timur</t>
  </si>
  <si>
    <t>Dinas Lingkungan Hidup Kabupaten Luwu Utara</t>
  </si>
  <si>
    <t>Dinas Lingkungan Hidup Kabupaten Maros</t>
  </si>
  <si>
    <t>Dinas Lingkungan Hidup Kabupaten Pangkajene dan Kepulauan</t>
  </si>
  <si>
    <t>Dinas Lingkungan Hidup Kabupaten Pinrang</t>
  </si>
  <si>
    <t>Dinas Lingkungan Hidup Kabupaten Sidenreng Rappang</t>
  </si>
  <si>
    <t>Dinas Lingkungan Hidup Kabupaten Sinjai</t>
  </si>
  <si>
    <t>Dinas Lingkungan Hidup Kabupaten Soppeng</t>
  </si>
  <si>
    <t>Dinas Lingkungan Hidup Kabupaten Takalar</t>
  </si>
  <si>
    <t>Dinas Lingkungan Hidup Kabupaten Tana Toraja</t>
  </si>
  <si>
    <t>Dinas Lingkungan Hidup Kabupaten Toraja Utara</t>
  </si>
  <si>
    <t>Dinas Lingkungan Hidup Kabupaten Wajo</t>
  </si>
  <si>
    <t>Dinas Lingkungan Hidup Kota Makassar</t>
  </si>
  <si>
    <t>Dinas Lingkungan Hidup Kota Palopo</t>
  </si>
  <si>
    <t>Dinas Lingkungan Hidup Kota Parepare</t>
  </si>
  <si>
    <t>Dinas Lingkungan Hidup Kabupaten Bombana</t>
  </si>
  <si>
    <t>Dinas Lingkungan Hidup Kabupaten Buton</t>
  </si>
  <si>
    <t>Dinas Lingkungan Hidup Kabupaten Buton Selatan</t>
  </si>
  <si>
    <t>Dinas Lingkungan Hidup Kabupaten Buton Tengah</t>
  </si>
  <si>
    <t>Dinas Lingkungan Hidup Kabupaten Buton Utara</t>
  </si>
  <si>
    <t>Dinas Lingkungan Hidup Kabupaten Kolaka</t>
  </si>
  <si>
    <t>Dinas Lingkungan Hidup Kabupaten Kolaka Timur</t>
  </si>
  <si>
    <t>Dinas Lingkungan Hidup Kabupaten Kolaka Utara</t>
  </si>
  <si>
    <t>Dinas Lingkungan Hidup Kabupaten Konawe</t>
  </si>
  <si>
    <t>Dinas Lingkungan Hidup Kabupaten Konawe Kepulauan</t>
  </si>
  <si>
    <t>Dinas Lingkungan Hidup Kabupaten Konawe Selatan</t>
  </si>
  <si>
    <t>Dinas Lingkungan Hidup Kabupaten Konawe Utara</t>
  </si>
  <si>
    <t>Dinas Lingkungan Hidup Kabupaten Muna</t>
  </si>
  <si>
    <t>Dinas Lingkungan Hidup Kabupaten Muna Barat</t>
  </si>
  <si>
    <t>Dinas Lingkungan Hidup Kabupaten Wakatobi</t>
  </si>
  <si>
    <t>Dinas Lingkungan Hidup Kota Bau-Bau</t>
  </si>
  <si>
    <t>Dinas Lingkungan Hidup Kota Kendari</t>
  </si>
  <si>
    <t>Dinas Lingkungan Hidup Kabupaten Boalemo</t>
  </si>
  <si>
    <t>Dinas Lingkungan Hidup Kabupaten Bone Bolango</t>
  </si>
  <si>
    <t>Dinas Lingkungan Hidup Kabupaten Gorontalo</t>
  </si>
  <si>
    <t>Dinas Lingkungan Hidup Kabupaten Gorontalo Utara</t>
  </si>
  <si>
    <t>Dinas Lingkungan Hidup Kabupaten Pohuwato</t>
  </si>
  <si>
    <t>Dinas Lingkungan Hidup Kota Gorontalo</t>
  </si>
  <si>
    <t>Dinas Lingkungan Hidup Kabupaten Majene</t>
  </si>
  <si>
    <t>Dinas Lingkungan Hidup Kabupaten Mamasa</t>
  </si>
  <si>
    <t>Dinas Lingkungan Hidup Kabupaten Mamuju</t>
  </si>
  <si>
    <t>Dinas Lingkungan Hidup Kabupaten Mamuju Tengah</t>
  </si>
  <si>
    <t>Dinas Lingkungan Hidup Kabupaten Mamuju Utara</t>
  </si>
  <si>
    <t>Dinas Lingkungan Hidup Kabupaten Polewali Mandar</t>
  </si>
  <si>
    <t>Dinas Lingkungan Hidup Kabupaten Buru</t>
  </si>
  <si>
    <t>Dinas Lingkungan Hidup Kabupaten Buru Selatan</t>
  </si>
  <si>
    <t>Dinas Lingkungan Hidup Kabupaten Kepulauan Aru</t>
  </si>
  <si>
    <t>Dinas Lingkungan Hidup Kabupaten Maluku Barat Daya</t>
  </si>
  <si>
    <t>Dinas Lingkungan Hidup Kabupaten Maluku Tengah</t>
  </si>
  <si>
    <t>Dinas Lingkungan Hidup Kabupaten Maluku Tenggara</t>
  </si>
  <si>
    <t>Dinas Lingkungan Hidup Kabupaten Maluku Tenggara Barat</t>
  </si>
  <si>
    <t>Dinas Lingkungan Hidup Kabupaten Seram Bagian Barat</t>
  </si>
  <si>
    <t>Dinas Lingkungan Hidup Kabupaten Seram Bagian Timur</t>
  </si>
  <si>
    <t>Dinas Lingkungan Hidup Kota Ambon</t>
  </si>
  <si>
    <t>Dinas Lingkungan Hidup Kota Tual</t>
  </si>
  <si>
    <t>Dinas Lingkungan Hidup Kabupaten Halmahera Barat</t>
  </si>
  <si>
    <t>Dinas Lingkungan Hidup Kabupaten Halmahera Selatan</t>
  </si>
  <si>
    <t>Dinas Lingkungan Hidup Kabupaten Halmahera Tengah</t>
  </si>
  <si>
    <t>Dinas Lingkungan Hidup Kabupaten Halmahera Timur</t>
  </si>
  <si>
    <t>Dinas Lingkungan Hidup Kabupaten Halmahera Utara</t>
  </si>
  <si>
    <t>Dinas Lingkungan Hidup Kabupaten Kepulauan Sula</t>
  </si>
  <si>
    <t>Dinas Lingkungan Hidup Kabupaten Pulau Morotai</t>
  </si>
  <si>
    <t>Dinas Lingkungan Hidup Kabupaten Pulau Taliabu</t>
  </si>
  <si>
    <t>Dinas Lingkungan Hidup Kota Ternate</t>
  </si>
  <si>
    <t>Dinas Lingkungan Hidup Kota Tidore Kepulauan</t>
  </si>
  <si>
    <t>Dinas Lingkungan Hidup Kabupaten Fakfak</t>
  </si>
  <si>
    <t>Dinas Lingkungan Hidup Kabupaten Kaimana</t>
  </si>
  <si>
    <t>Dinas Lingkungan Hidup Kabupaten Manokwari</t>
  </si>
  <si>
    <t>Dinas Lingkungan Hidup Kabupaten Manokwari Selatan</t>
  </si>
  <si>
    <t>Dinas Lingkungan Hidup Kabupaten Maybrat</t>
  </si>
  <si>
    <t>Dinas Lingkungan Hidup Kabupaten Pegunungan Arfak</t>
  </si>
  <si>
    <t>Dinas Lingkungan Hidup Kabupaten Raja Ampat</t>
  </si>
  <si>
    <t>Dinas Lingkungan Hidup Kabupaten Sorong</t>
  </si>
  <si>
    <t>Dinas Lingkungan Hidup Kabupaten Sorong Selatan</t>
  </si>
  <si>
    <t>Dinas Lingkungan Hidup Kabupaten Tambrauw</t>
  </si>
  <si>
    <t>Dinas Lingkungan Hidup Kabupaten Teluk Bintuni</t>
  </si>
  <si>
    <t>Dinas Lingkungan Hidup Kabupaten Teluk Wondama</t>
  </si>
  <si>
    <t>Dinas Lingkungan Hidup Kota Sorong</t>
  </si>
  <si>
    <t>Dinas Lingkungan Hidup Kabupaten Asmat</t>
  </si>
  <si>
    <t>Dinas Lingkungan Hidup Kabupaten Biak Numfor</t>
  </si>
  <si>
    <t>Dinas Lingkungan Hidup Kabupaten Boven Digoel</t>
  </si>
  <si>
    <t>Dinas Lingkungan Hidup Kabupaten Deiyai</t>
  </si>
  <si>
    <t>Dinas Lingkungan Hidup Kabupaten Dogiyai</t>
  </si>
  <si>
    <t>Dinas Lingkungan Hidup Kabupaten Intan Jaya</t>
  </si>
  <si>
    <t>Dinas Lingkungan Hidup Kabupaten Jayapura</t>
  </si>
  <si>
    <t>Dinas Lingkungan Hidup Kabupaten Jayawijaya</t>
  </si>
  <si>
    <t>Dinas Lingkungan Hidup Kabupaten Keerom</t>
  </si>
  <si>
    <t>Dinas Lingkungan Hidup Kabupaten Kepulauan Yapen</t>
  </si>
  <si>
    <t>Dinas Lingkungan Hidup Kabupaten Lanny Jaya</t>
  </si>
  <si>
    <t>Dinas Lingkungan Hidup Kabupaten Mamberamo Raya</t>
  </si>
  <si>
    <t>Dinas Lingkungan Hidup Kabupaten Mamberamo Tengah</t>
  </si>
  <si>
    <t>Dinas Lingkungan Hidup Kabupaten Mappi</t>
  </si>
  <si>
    <t>Dinas Lingkungan Hidup Kabupaten Merauke</t>
  </si>
  <si>
    <t>Dinas Lingkungan Hidup Kabupaten Mimika</t>
  </si>
  <si>
    <t>Dinas Lingkungan Hidup Kabupaten Nabire</t>
  </si>
  <si>
    <t>Dinas Lingkungan Hidup Kabupaten Nduga</t>
  </si>
  <si>
    <t>Dinas Lingkungan Hidup Kabupaten Paniai</t>
  </si>
  <si>
    <t>Dinas Lingkungan Hidup Kabupaten Pegunungan Bintang</t>
  </si>
  <si>
    <t>Dinas Lingkungan Hidup Kabupaten Puncak</t>
  </si>
  <si>
    <t>Dinas Lingkungan Hidup Kabupaten Puncak Jaya</t>
  </si>
  <si>
    <t>Dinas Lingkungan Hidup Kabupaten Sarmi</t>
  </si>
  <si>
    <t>Dinas Lingkungan Hidup Kabupaten Supiori</t>
  </si>
  <si>
    <t>Dinas Lingkungan Hidup Kabupaten Tolikara</t>
  </si>
  <si>
    <t>Dinas Lingkungan Hidup Kabupaten Waropen</t>
  </si>
  <si>
    <t>Dinas Lingkungan Hidup Kabupaten Yahukimo</t>
  </si>
  <si>
    <t>Dinas Lingkungan Hidup Kota Jayapura</t>
  </si>
  <si>
    <t>Dinas Lingkungan Hidup Kabupaten Yalimo</t>
  </si>
  <si>
    <t>adiwiyata</t>
  </si>
  <si>
    <t>proklim</t>
  </si>
  <si>
    <t>proper</t>
  </si>
  <si>
    <t>kaltaparu</t>
  </si>
  <si>
    <t>adipura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</si>
</sst>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577"/>
  <sheetViews>
    <sheetView tabSelected="1" workbookViewId="0" showGridLines="true" showRowColHeaders="1">
      <selection activeCell="Q3" sqref="Q3:Q577"/>
    </sheetView>
  </sheetViews>
  <sheetFormatPr defaultRowHeight="14.4" outlineLevelRow="0" outlineLevelCol="0"/>
  <cols>
    <col min="1" max="1" width="12.854" bestFit="true" customWidth="true" style="0"/>
    <col min="2" max="2" width="77.695" bestFit="true" customWidth="true" style="0"/>
    <col min="3" max="3" width="19.852" bestFit="true" customWidth="true" style="0"/>
    <col min="4" max="4" width="12.854" bestFit="true" customWidth="true" style="0"/>
    <col min="5" max="5" width="8.141" bestFit="true" customWidth="true" style="0"/>
    <col min="6" max="6" width="31.707" bestFit="true" customWidth="true" style="0"/>
    <col min="7" max="7" width="12.854" bestFit="true" customWidth="true" style="0"/>
    <col min="8" max="8" width="8.141" bestFit="true" customWidth="true" style="0"/>
    <col min="9" max="9" width="25.708" bestFit="true" customWidth="true" style="0"/>
    <col min="10" max="10" width="12.854" bestFit="true" customWidth="true" style="0"/>
    <col min="11" max="11" width="8.141" bestFit="true" customWidth="true" style="0"/>
    <col min="12" max="12" width="23.423" bestFit="true" customWidth="true" style="0"/>
    <col min="13" max="13" width="12.854" bestFit="true" customWidth="true" style="0"/>
    <col min="14" max="14" width="8.141" bestFit="true" customWidth="true" style="0"/>
    <col min="15" max="15" width="20.995" bestFit="true" customWidth="true" style="0"/>
    <col min="16" max="16" width="12.854" bestFit="true" customWidth="true" style="0"/>
    <col min="17" max="17" width="8.141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  <c r="O1" s="1" t="s">
        <v>6</v>
      </c>
      <c r="P1" s="1"/>
      <c r="Q1" s="1"/>
    </row>
    <row r="2" spans="1:17">
      <c r="A2" s="1"/>
      <c r="B2" s="1"/>
      <c r="C2" s="1" t="s">
        <v>7</v>
      </c>
      <c r="D2" s="1" t="s">
        <v>8</v>
      </c>
      <c r="E2" s="1" t="s">
        <v>9</v>
      </c>
      <c r="F2" s="1" t="s">
        <v>10</v>
      </c>
      <c r="G2" s="1" t="s">
        <v>8</v>
      </c>
      <c r="H2" s="1" t="s">
        <v>9</v>
      </c>
      <c r="I2" s="1" t="s">
        <v>11</v>
      </c>
      <c r="J2" s="1" t="s">
        <v>8</v>
      </c>
      <c r="K2" s="1" t="s">
        <v>9</v>
      </c>
      <c r="L2" s="1" t="s">
        <v>12</v>
      </c>
      <c r="M2" s="1" t="s">
        <v>8</v>
      </c>
      <c r="N2" s="1" t="s">
        <v>9</v>
      </c>
      <c r="O2" s="1" t="s">
        <v>13</v>
      </c>
      <c r="P2" s="1" t="s">
        <v>8</v>
      </c>
      <c r="Q2" s="1" t="s">
        <v>9</v>
      </c>
    </row>
    <row r="3" spans="1:17">
      <c r="A3">
        <v>1</v>
      </c>
      <c r="B3" t="s">
        <v>14</v>
      </c>
      <c r="C3" s="2"/>
      <c r="D3">
        <f>C3 * VLOOKUP("adipura", inject!A:B, 2, FALSE)</f>
        <v>0</v>
      </c>
      <c r="E3" s="2"/>
      <c r="F3" s="2"/>
      <c r="G3">
        <f>F3 * VLOOKUP("adiwiyata", inject!A:B, 2, FALSE)</f>
        <v>0</v>
      </c>
      <c r="H3" s="2"/>
      <c r="I3" s="2"/>
      <c r="J3">
        <f>I3 * VLOOKUP("proklim", inject!A:B, 2, FALSE)</f>
        <v>0</v>
      </c>
      <c r="K3" s="2"/>
      <c r="L3" s="2"/>
      <c r="M3">
        <f>L3 * VLOOKUP("proper", inject!A:B, 2, FALSE)</f>
        <v>0</v>
      </c>
      <c r="N3" s="2"/>
      <c r="O3" s="2"/>
      <c r="P3">
        <f>O3 * VLOOKUP("kaltaparu", inject!A:B, 2, FALSE)</f>
        <v>0</v>
      </c>
      <c r="Q3" s="2"/>
    </row>
    <row r="4" spans="1:17">
      <c r="A4">
        <v>2</v>
      </c>
      <c r="B4" t="s">
        <v>15</v>
      </c>
      <c r="C4" s="2"/>
      <c r="D4">
        <f>C4 * VLOOKUP("adipura", inject!A:B, 2, FALSE)</f>
        <v>0</v>
      </c>
      <c r="E4" s="2"/>
      <c r="F4" s="2"/>
      <c r="G4">
        <f>F4 * VLOOKUP("adiwiyata", inject!A:B, 2, FALSE)</f>
        <v>0</v>
      </c>
      <c r="H4" s="2"/>
      <c r="I4" s="2"/>
      <c r="J4">
        <f>I4 * VLOOKUP("proklim", inject!A:B, 2, FALSE)</f>
        <v>0</v>
      </c>
      <c r="K4" s="2"/>
      <c r="L4" s="2"/>
      <c r="M4">
        <f>L4 * VLOOKUP("proper", inject!A:B, 2, FALSE)</f>
        <v>0</v>
      </c>
      <c r="N4" s="2"/>
      <c r="O4" s="2"/>
      <c r="P4">
        <f>O4 * VLOOKUP("kaltaparu", inject!A:B, 2, FALSE)</f>
        <v>0</v>
      </c>
      <c r="Q4" s="2"/>
    </row>
    <row r="5" spans="1:17">
      <c r="A5">
        <v>3</v>
      </c>
      <c r="B5" t="s">
        <v>16</v>
      </c>
      <c r="C5" s="2"/>
      <c r="D5">
        <f>C5 * VLOOKUP("adipura", inject!A:B, 2, FALSE)</f>
        <v>0</v>
      </c>
      <c r="E5" s="2"/>
      <c r="F5" s="2"/>
      <c r="G5">
        <f>F5 * VLOOKUP("adiwiyata", inject!A:B, 2, FALSE)</f>
        <v>0</v>
      </c>
      <c r="H5" s="2"/>
      <c r="I5" s="2"/>
      <c r="J5">
        <f>I5 * VLOOKUP("proklim", inject!A:B, 2, FALSE)</f>
        <v>0</v>
      </c>
      <c r="K5" s="2"/>
      <c r="L5" s="2"/>
      <c r="M5">
        <f>L5 * VLOOKUP("proper", inject!A:B, 2, FALSE)</f>
        <v>0</v>
      </c>
      <c r="N5" s="2"/>
      <c r="O5" s="2"/>
      <c r="P5">
        <f>O5 * VLOOKUP("kaltaparu", inject!A:B, 2, FALSE)</f>
        <v>0</v>
      </c>
      <c r="Q5" s="2"/>
    </row>
    <row r="6" spans="1:17">
      <c r="A6">
        <v>4</v>
      </c>
      <c r="B6" t="s">
        <v>17</v>
      </c>
      <c r="C6" s="2"/>
      <c r="D6">
        <f>C6 * VLOOKUP("adipura", inject!A:B, 2, FALSE)</f>
        <v>0</v>
      </c>
      <c r="E6" s="2"/>
      <c r="F6" s="2"/>
      <c r="G6">
        <f>F6 * VLOOKUP("adiwiyata", inject!A:B, 2, FALSE)</f>
        <v>0</v>
      </c>
      <c r="H6" s="2"/>
      <c r="I6" s="2"/>
      <c r="J6">
        <f>I6 * VLOOKUP("proklim", inject!A:B, 2, FALSE)</f>
        <v>0</v>
      </c>
      <c r="K6" s="2"/>
      <c r="L6" s="2"/>
      <c r="M6">
        <f>L6 * VLOOKUP("proper", inject!A:B, 2, FALSE)</f>
        <v>0</v>
      </c>
      <c r="N6" s="2"/>
      <c r="O6" s="2"/>
      <c r="P6">
        <f>O6 * VLOOKUP("kaltaparu", inject!A:B, 2, FALSE)</f>
        <v>0</v>
      </c>
      <c r="Q6" s="2"/>
    </row>
    <row r="7" spans="1:17">
      <c r="A7">
        <v>5</v>
      </c>
      <c r="B7" t="s">
        <v>18</v>
      </c>
      <c r="C7" s="2"/>
      <c r="D7">
        <f>C7 * VLOOKUP("adipura", inject!A:B, 2, FALSE)</f>
        <v>0</v>
      </c>
      <c r="E7" s="2"/>
      <c r="F7" s="2"/>
      <c r="G7">
        <f>F7 * VLOOKUP("adiwiyata", inject!A:B, 2, FALSE)</f>
        <v>0</v>
      </c>
      <c r="H7" s="2"/>
      <c r="I7" s="2"/>
      <c r="J7">
        <f>I7 * VLOOKUP("proklim", inject!A:B, 2, FALSE)</f>
        <v>0</v>
      </c>
      <c r="K7" s="2"/>
      <c r="L7" s="2"/>
      <c r="M7">
        <f>L7 * VLOOKUP("proper", inject!A:B, 2, FALSE)</f>
        <v>0</v>
      </c>
      <c r="N7" s="2"/>
      <c r="O7" s="2"/>
      <c r="P7">
        <f>O7 * VLOOKUP("kaltaparu", inject!A:B, 2, FALSE)</f>
        <v>0</v>
      </c>
      <c r="Q7" s="2"/>
    </row>
    <row r="8" spans="1:17">
      <c r="A8">
        <v>6</v>
      </c>
      <c r="B8" t="s">
        <v>19</v>
      </c>
      <c r="C8" s="2"/>
      <c r="D8">
        <f>C8 * VLOOKUP("adipura", inject!A:B, 2, FALSE)</f>
        <v>0</v>
      </c>
      <c r="E8" s="2"/>
      <c r="F8" s="2"/>
      <c r="G8">
        <f>F8 * VLOOKUP("adiwiyata", inject!A:B, 2, FALSE)</f>
        <v>0</v>
      </c>
      <c r="H8" s="2"/>
      <c r="I8" s="2"/>
      <c r="J8">
        <f>I8 * VLOOKUP("proklim", inject!A:B, 2, FALSE)</f>
        <v>0</v>
      </c>
      <c r="K8" s="2"/>
      <c r="L8" s="2"/>
      <c r="M8">
        <f>L8 * VLOOKUP("proper", inject!A:B, 2, FALSE)</f>
        <v>0</v>
      </c>
      <c r="N8" s="2"/>
      <c r="O8" s="2"/>
      <c r="P8">
        <f>O8 * VLOOKUP("kaltaparu", inject!A:B, 2, FALSE)</f>
        <v>0</v>
      </c>
      <c r="Q8" s="2"/>
    </row>
    <row r="9" spans="1:17">
      <c r="A9">
        <v>8</v>
      </c>
      <c r="B9" t="s">
        <v>20</v>
      </c>
      <c r="C9" s="2"/>
      <c r="D9">
        <f>C9 * VLOOKUP("adipura", inject!A:B, 2, FALSE)</f>
        <v>0</v>
      </c>
      <c r="E9" s="2"/>
      <c r="F9" s="2"/>
      <c r="G9">
        <f>F9 * VLOOKUP("adiwiyata", inject!A:B, 2, FALSE)</f>
        <v>0</v>
      </c>
      <c r="H9" s="2"/>
      <c r="I9" s="2"/>
      <c r="J9">
        <f>I9 * VLOOKUP("proklim", inject!A:B, 2, FALSE)</f>
        <v>0</v>
      </c>
      <c r="K9" s="2"/>
      <c r="L9" s="2"/>
      <c r="M9">
        <f>L9 * VLOOKUP("proper", inject!A:B, 2, FALSE)</f>
        <v>0</v>
      </c>
      <c r="N9" s="2"/>
      <c r="O9" s="2"/>
      <c r="P9">
        <f>O9 * VLOOKUP("kaltaparu", inject!A:B, 2, FALSE)</f>
        <v>0</v>
      </c>
      <c r="Q9" s="2"/>
    </row>
    <row r="10" spans="1:17">
      <c r="A10">
        <v>9</v>
      </c>
      <c r="B10" t="s">
        <v>21</v>
      </c>
      <c r="C10" s="2"/>
      <c r="D10">
        <f>C10 * VLOOKUP("adipura", inject!A:B, 2, FALSE)</f>
        <v>0</v>
      </c>
      <c r="E10" s="2"/>
      <c r="F10" s="2"/>
      <c r="G10">
        <f>F10 * VLOOKUP("adiwiyata", inject!A:B, 2, FALSE)</f>
        <v>0</v>
      </c>
      <c r="H10" s="2"/>
      <c r="I10" s="2"/>
      <c r="J10">
        <f>I10 * VLOOKUP("proklim", inject!A:B, 2, FALSE)</f>
        <v>0</v>
      </c>
      <c r="K10" s="2"/>
      <c r="L10" s="2"/>
      <c r="M10">
        <f>L10 * VLOOKUP("proper", inject!A:B, 2, FALSE)</f>
        <v>0</v>
      </c>
      <c r="N10" s="2"/>
      <c r="O10" s="2"/>
      <c r="P10">
        <f>O10 * VLOOKUP("kaltaparu", inject!A:B, 2, FALSE)</f>
        <v>0</v>
      </c>
      <c r="Q10" s="2"/>
    </row>
    <row r="11" spans="1:17">
      <c r="A11">
        <v>10</v>
      </c>
      <c r="B11" t="s">
        <v>22</v>
      </c>
      <c r="C11" s="2"/>
      <c r="D11">
        <f>C11 * VLOOKUP("adipura", inject!A:B, 2, FALSE)</f>
        <v>0</v>
      </c>
      <c r="E11" s="2"/>
      <c r="F11" s="2"/>
      <c r="G11">
        <f>F11 * VLOOKUP("adiwiyata", inject!A:B, 2, FALSE)</f>
        <v>0</v>
      </c>
      <c r="H11" s="2"/>
      <c r="I11" s="2"/>
      <c r="J11">
        <f>I11 * VLOOKUP("proklim", inject!A:B, 2, FALSE)</f>
        <v>0</v>
      </c>
      <c r="K11" s="2"/>
      <c r="L11" s="2"/>
      <c r="M11">
        <f>L11 * VLOOKUP("proper", inject!A:B, 2, FALSE)</f>
        <v>0</v>
      </c>
      <c r="N11" s="2"/>
      <c r="O11" s="2"/>
      <c r="P11">
        <f>O11 * VLOOKUP("kaltaparu", inject!A:B, 2, FALSE)</f>
        <v>0</v>
      </c>
      <c r="Q11" s="2"/>
    </row>
    <row r="12" spans="1:17">
      <c r="A12">
        <v>11</v>
      </c>
      <c r="B12" t="s">
        <v>23</v>
      </c>
      <c r="C12" s="2"/>
      <c r="D12">
        <f>C12 * VLOOKUP("adipura", inject!A:B, 2, FALSE)</f>
        <v>0</v>
      </c>
      <c r="E12" s="2"/>
      <c r="F12" s="2"/>
      <c r="G12">
        <f>F12 * VLOOKUP("adiwiyata", inject!A:B, 2, FALSE)</f>
        <v>0</v>
      </c>
      <c r="H12" s="2"/>
      <c r="I12" s="2"/>
      <c r="J12">
        <f>I12 * VLOOKUP("proklim", inject!A:B, 2, FALSE)</f>
        <v>0</v>
      </c>
      <c r="K12" s="2"/>
      <c r="L12" s="2"/>
      <c r="M12">
        <f>L12 * VLOOKUP("proper", inject!A:B, 2, FALSE)</f>
        <v>0</v>
      </c>
      <c r="N12" s="2"/>
      <c r="O12" s="2"/>
      <c r="P12">
        <f>O12 * VLOOKUP("kaltaparu", inject!A:B, 2, FALSE)</f>
        <v>0</v>
      </c>
      <c r="Q12" s="2"/>
    </row>
    <row r="13" spans="1:17">
      <c r="A13">
        <v>12</v>
      </c>
      <c r="B13" t="s">
        <v>24</v>
      </c>
      <c r="C13" s="2"/>
      <c r="D13">
        <f>C13 * VLOOKUP("adipura", inject!A:B, 2, FALSE)</f>
        <v>0</v>
      </c>
      <c r="E13" s="2"/>
      <c r="F13" s="2"/>
      <c r="G13">
        <f>F13 * VLOOKUP("adiwiyata", inject!A:B, 2, FALSE)</f>
        <v>0</v>
      </c>
      <c r="H13" s="2"/>
      <c r="I13" s="2"/>
      <c r="J13">
        <f>I13 * VLOOKUP("proklim", inject!A:B, 2, FALSE)</f>
        <v>0</v>
      </c>
      <c r="K13" s="2"/>
      <c r="L13" s="2"/>
      <c r="M13">
        <f>L13 * VLOOKUP("proper", inject!A:B, 2, FALSE)</f>
        <v>0</v>
      </c>
      <c r="N13" s="2"/>
      <c r="O13" s="2"/>
      <c r="P13">
        <f>O13 * VLOOKUP("kaltaparu", inject!A:B, 2, FALSE)</f>
        <v>0</v>
      </c>
      <c r="Q13" s="2"/>
    </row>
    <row r="14" spans="1:17">
      <c r="A14">
        <v>13</v>
      </c>
      <c r="B14" t="s">
        <v>25</v>
      </c>
      <c r="C14" s="2"/>
      <c r="D14">
        <f>C14 * VLOOKUP("adipura", inject!A:B, 2, FALSE)</f>
        <v>0</v>
      </c>
      <c r="E14" s="2"/>
      <c r="F14" s="2"/>
      <c r="G14">
        <f>F14 * VLOOKUP("adiwiyata", inject!A:B, 2, FALSE)</f>
        <v>0</v>
      </c>
      <c r="H14" s="2"/>
      <c r="I14" s="2"/>
      <c r="J14">
        <f>I14 * VLOOKUP("proklim", inject!A:B, 2, FALSE)</f>
        <v>0</v>
      </c>
      <c r="K14" s="2"/>
      <c r="L14" s="2"/>
      <c r="M14">
        <f>L14 * VLOOKUP("proper", inject!A:B, 2, FALSE)</f>
        <v>0</v>
      </c>
      <c r="N14" s="2"/>
      <c r="O14" s="2"/>
      <c r="P14">
        <f>O14 * VLOOKUP("kaltaparu", inject!A:B, 2, FALSE)</f>
        <v>0</v>
      </c>
      <c r="Q14" s="2"/>
    </row>
    <row r="15" spans="1:17">
      <c r="A15">
        <v>14</v>
      </c>
      <c r="B15" t="s">
        <v>26</v>
      </c>
      <c r="C15" s="2"/>
      <c r="D15">
        <f>C15 * VLOOKUP("adipura", inject!A:B, 2, FALSE)</f>
        <v>0</v>
      </c>
      <c r="E15" s="2"/>
      <c r="F15" s="2"/>
      <c r="G15">
        <f>F15 * VLOOKUP("adiwiyata", inject!A:B, 2, FALSE)</f>
        <v>0</v>
      </c>
      <c r="H15" s="2"/>
      <c r="I15" s="2"/>
      <c r="J15">
        <f>I15 * VLOOKUP("proklim", inject!A:B, 2, FALSE)</f>
        <v>0</v>
      </c>
      <c r="K15" s="2"/>
      <c r="L15" s="2"/>
      <c r="M15">
        <f>L15 * VLOOKUP("proper", inject!A:B, 2, FALSE)</f>
        <v>0</v>
      </c>
      <c r="N15" s="2"/>
      <c r="O15" s="2"/>
      <c r="P15">
        <f>O15 * VLOOKUP("kaltaparu", inject!A:B, 2, FALSE)</f>
        <v>0</v>
      </c>
      <c r="Q15" s="2"/>
    </row>
    <row r="16" spans="1:17">
      <c r="A16">
        <v>15</v>
      </c>
      <c r="B16" t="s">
        <v>27</v>
      </c>
      <c r="C16" s="2"/>
      <c r="D16">
        <f>C16 * VLOOKUP("adipura", inject!A:B, 2, FALSE)</f>
        <v>0</v>
      </c>
      <c r="E16" s="2"/>
      <c r="F16" s="2"/>
      <c r="G16">
        <f>F16 * VLOOKUP("adiwiyata", inject!A:B, 2, FALSE)</f>
        <v>0</v>
      </c>
      <c r="H16" s="2"/>
      <c r="I16" s="2"/>
      <c r="J16">
        <f>I16 * VLOOKUP("proklim", inject!A:B, 2, FALSE)</f>
        <v>0</v>
      </c>
      <c r="K16" s="2"/>
      <c r="L16" s="2"/>
      <c r="M16">
        <f>L16 * VLOOKUP("proper", inject!A:B, 2, FALSE)</f>
        <v>0</v>
      </c>
      <c r="N16" s="2"/>
      <c r="O16" s="2"/>
      <c r="P16">
        <f>O16 * VLOOKUP("kaltaparu", inject!A:B, 2, FALSE)</f>
        <v>0</v>
      </c>
      <c r="Q16" s="2"/>
    </row>
    <row r="17" spans="1:17">
      <c r="A17">
        <v>16</v>
      </c>
      <c r="B17" t="s">
        <v>28</v>
      </c>
      <c r="C17" s="2"/>
      <c r="D17">
        <f>C17 * VLOOKUP("adipura", inject!A:B, 2, FALSE)</f>
        <v>0</v>
      </c>
      <c r="E17" s="2"/>
      <c r="F17" s="2"/>
      <c r="G17">
        <f>F17 * VLOOKUP("adiwiyata", inject!A:B, 2, FALSE)</f>
        <v>0</v>
      </c>
      <c r="H17" s="2"/>
      <c r="I17" s="2"/>
      <c r="J17">
        <f>I17 * VLOOKUP("proklim", inject!A:B, 2, FALSE)</f>
        <v>0</v>
      </c>
      <c r="K17" s="2"/>
      <c r="L17" s="2"/>
      <c r="M17">
        <f>L17 * VLOOKUP("proper", inject!A:B, 2, FALSE)</f>
        <v>0</v>
      </c>
      <c r="N17" s="2"/>
      <c r="O17" s="2"/>
      <c r="P17">
        <f>O17 * VLOOKUP("kaltaparu", inject!A:B, 2, FALSE)</f>
        <v>0</v>
      </c>
      <c r="Q17" s="2"/>
    </row>
    <row r="18" spans="1:17">
      <c r="A18">
        <v>17</v>
      </c>
      <c r="B18" t="s">
        <v>29</v>
      </c>
      <c r="C18" s="2"/>
      <c r="D18">
        <f>C18 * VLOOKUP("adipura", inject!A:B, 2, FALSE)</f>
        <v>0</v>
      </c>
      <c r="E18" s="2"/>
      <c r="F18" s="2"/>
      <c r="G18">
        <f>F18 * VLOOKUP("adiwiyata", inject!A:B, 2, FALSE)</f>
        <v>0</v>
      </c>
      <c r="H18" s="2"/>
      <c r="I18" s="2"/>
      <c r="J18">
        <f>I18 * VLOOKUP("proklim", inject!A:B, 2, FALSE)</f>
        <v>0</v>
      </c>
      <c r="K18" s="2"/>
      <c r="L18" s="2"/>
      <c r="M18">
        <f>L18 * VLOOKUP("proper", inject!A:B, 2, FALSE)</f>
        <v>0</v>
      </c>
      <c r="N18" s="2"/>
      <c r="O18" s="2"/>
      <c r="P18">
        <f>O18 * VLOOKUP("kaltaparu", inject!A:B, 2, FALSE)</f>
        <v>0</v>
      </c>
      <c r="Q18" s="2"/>
    </row>
    <row r="19" spans="1:17">
      <c r="A19">
        <v>18</v>
      </c>
      <c r="B19" t="s">
        <v>30</v>
      </c>
      <c r="C19" s="2"/>
      <c r="D19">
        <f>C19 * VLOOKUP("adipura", inject!A:B, 2, FALSE)</f>
        <v>0</v>
      </c>
      <c r="E19" s="2"/>
      <c r="F19" s="2"/>
      <c r="G19">
        <f>F19 * VLOOKUP("adiwiyata", inject!A:B, 2, FALSE)</f>
        <v>0</v>
      </c>
      <c r="H19" s="2"/>
      <c r="I19" s="2"/>
      <c r="J19">
        <f>I19 * VLOOKUP("proklim", inject!A:B, 2, FALSE)</f>
        <v>0</v>
      </c>
      <c r="K19" s="2"/>
      <c r="L19" s="2"/>
      <c r="M19">
        <f>L19 * VLOOKUP("proper", inject!A:B, 2, FALSE)</f>
        <v>0</v>
      </c>
      <c r="N19" s="2"/>
      <c r="O19" s="2"/>
      <c r="P19">
        <f>O19 * VLOOKUP("kaltaparu", inject!A:B, 2, FALSE)</f>
        <v>0</v>
      </c>
      <c r="Q19" s="2"/>
    </row>
    <row r="20" spans="1:17">
      <c r="A20">
        <v>19</v>
      </c>
      <c r="B20" t="s">
        <v>31</v>
      </c>
      <c r="C20" s="2"/>
      <c r="D20">
        <f>C20 * VLOOKUP("adipura", inject!A:B, 2, FALSE)</f>
        <v>0</v>
      </c>
      <c r="E20" s="2"/>
      <c r="F20" s="2"/>
      <c r="G20">
        <f>F20 * VLOOKUP("adiwiyata", inject!A:B, 2, FALSE)</f>
        <v>0</v>
      </c>
      <c r="H20" s="2"/>
      <c r="I20" s="2"/>
      <c r="J20">
        <f>I20 * VLOOKUP("proklim", inject!A:B, 2, FALSE)</f>
        <v>0</v>
      </c>
      <c r="K20" s="2"/>
      <c r="L20" s="2"/>
      <c r="M20">
        <f>L20 * VLOOKUP("proper", inject!A:B, 2, FALSE)</f>
        <v>0</v>
      </c>
      <c r="N20" s="2"/>
      <c r="O20" s="2"/>
      <c r="P20">
        <f>O20 * VLOOKUP("kaltaparu", inject!A:B, 2, FALSE)</f>
        <v>0</v>
      </c>
      <c r="Q20" s="2"/>
    </row>
    <row r="21" spans="1:17">
      <c r="A21">
        <v>20</v>
      </c>
      <c r="B21" t="s">
        <v>32</v>
      </c>
      <c r="C21" s="2"/>
      <c r="D21">
        <f>C21 * VLOOKUP("adipura", inject!A:B, 2, FALSE)</f>
        <v>0</v>
      </c>
      <c r="E21" s="2"/>
      <c r="F21" s="2"/>
      <c r="G21">
        <f>F21 * VLOOKUP("adiwiyata", inject!A:B, 2, FALSE)</f>
        <v>0</v>
      </c>
      <c r="H21" s="2"/>
      <c r="I21" s="2"/>
      <c r="J21">
        <f>I21 * VLOOKUP("proklim", inject!A:B, 2, FALSE)</f>
        <v>0</v>
      </c>
      <c r="K21" s="2"/>
      <c r="L21" s="2"/>
      <c r="M21">
        <f>L21 * VLOOKUP("proper", inject!A:B, 2, FALSE)</f>
        <v>0</v>
      </c>
      <c r="N21" s="2"/>
      <c r="O21" s="2"/>
      <c r="P21">
        <f>O21 * VLOOKUP("kaltaparu", inject!A:B, 2, FALSE)</f>
        <v>0</v>
      </c>
      <c r="Q21" s="2"/>
    </row>
    <row r="22" spans="1:17">
      <c r="A22">
        <v>21</v>
      </c>
      <c r="B22" t="s">
        <v>33</v>
      </c>
      <c r="C22" s="2"/>
      <c r="D22">
        <f>C22 * VLOOKUP("adipura", inject!A:B, 2, FALSE)</f>
        <v>0</v>
      </c>
      <c r="E22" s="2"/>
      <c r="F22" s="2"/>
      <c r="G22">
        <f>F22 * VLOOKUP("adiwiyata", inject!A:B, 2, FALSE)</f>
        <v>0</v>
      </c>
      <c r="H22" s="2"/>
      <c r="I22" s="2"/>
      <c r="J22">
        <f>I22 * VLOOKUP("proklim", inject!A:B, 2, FALSE)</f>
        <v>0</v>
      </c>
      <c r="K22" s="2"/>
      <c r="L22" s="2"/>
      <c r="M22">
        <f>L22 * VLOOKUP("proper", inject!A:B, 2, FALSE)</f>
        <v>0</v>
      </c>
      <c r="N22" s="2"/>
      <c r="O22" s="2"/>
      <c r="P22">
        <f>O22 * VLOOKUP("kaltaparu", inject!A:B, 2, FALSE)</f>
        <v>0</v>
      </c>
      <c r="Q22" s="2"/>
    </row>
    <row r="23" spans="1:17">
      <c r="A23">
        <v>22</v>
      </c>
      <c r="B23" t="s">
        <v>34</v>
      </c>
      <c r="C23" s="2"/>
      <c r="D23">
        <f>C23 * VLOOKUP("adipura", inject!A:B, 2, FALSE)</f>
        <v>0</v>
      </c>
      <c r="E23" s="2"/>
      <c r="F23" s="2"/>
      <c r="G23">
        <f>F23 * VLOOKUP("adiwiyata", inject!A:B, 2, FALSE)</f>
        <v>0</v>
      </c>
      <c r="H23" s="2"/>
      <c r="I23" s="2"/>
      <c r="J23">
        <f>I23 * VLOOKUP("proklim", inject!A:B, 2, FALSE)</f>
        <v>0</v>
      </c>
      <c r="K23" s="2"/>
      <c r="L23" s="2"/>
      <c r="M23">
        <f>L23 * VLOOKUP("proper", inject!A:B, 2, FALSE)</f>
        <v>0</v>
      </c>
      <c r="N23" s="2"/>
      <c r="O23" s="2"/>
      <c r="P23">
        <f>O23 * VLOOKUP("kaltaparu", inject!A:B, 2, FALSE)</f>
        <v>0</v>
      </c>
      <c r="Q23" s="2"/>
    </row>
    <row r="24" spans="1:17">
      <c r="A24">
        <v>23</v>
      </c>
      <c r="B24" t="s">
        <v>35</v>
      </c>
      <c r="C24" s="2"/>
      <c r="D24">
        <f>C24 * VLOOKUP("adipura", inject!A:B, 2, FALSE)</f>
        <v>0</v>
      </c>
      <c r="E24" s="2"/>
      <c r="F24" s="2"/>
      <c r="G24">
        <f>F24 * VLOOKUP("adiwiyata", inject!A:B, 2, FALSE)</f>
        <v>0</v>
      </c>
      <c r="H24" s="2"/>
      <c r="I24" s="2"/>
      <c r="J24">
        <f>I24 * VLOOKUP("proklim", inject!A:B, 2, FALSE)</f>
        <v>0</v>
      </c>
      <c r="K24" s="2"/>
      <c r="L24" s="2"/>
      <c r="M24">
        <f>L24 * VLOOKUP("proper", inject!A:B, 2, FALSE)</f>
        <v>0</v>
      </c>
      <c r="N24" s="2"/>
      <c r="O24" s="2"/>
      <c r="P24">
        <f>O24 * VLOOKUP("kaltaparu", inject!A:B, 2, FALSE)</f>
        <v>0</v>
      </c>
      <c r="Q24" s="2"/>
    </row>
    <row r="25" spans="1:17">
      <c r="A25">
        <v>24</v>
      </c>
      <c r="B25" t="s">
        <v>36</v>
      </c>
      <c r="C25" s="2"/>
      <c r="D25">
        <f>C25 * VLOOKUP("adipura", inject!A:B, 2, FALSE)</f>
        <v>0</v>
      </c>
      <c r="E25" s="2"/>
      <c r="F25" s="2"/>
      <c r="G25">
        <f>F25 * VLOOKUP("adiwiyata", inject!A:B, 2, FALSE)</f>
        <v>0</v>
      </c>
      <c r="H25" s="2"/>
      <c r="I25" s="2"/>
      <c r="J25">
        <f>I25 * VLOOKUP("proklim", inject!A:B, 2, FALSE)</f>
        <v>0</v>
      </c>
      <c r="K25" s="2"/>
      <c r="L25" s="2"/>
      <c r="M25">
        <f>L25 * VLOOKUP("proper", inject!A:B, 2, FALSE)</f>
        <v>0</v>
      </c>
      <c r="N25" s="2"/>
      <c r="O25" s="2"/>
      <c r="P25">
        <f>O25 * VLOOKUP("kaltaparu", inject!A:B, 2, FALSE)</f>
        <v>0</v>
      </c>
      <c r="Q25" s="2"/>
    </row>
    <row r="26" spans="1:17">
      <c r="A26">
        <v>25</v>
      </c>
      <c r="B26" t="s">
        <v>37</v>
      </c>
      <c r="C26" s="2"/>
      <c r="D26">
        <f>C26 * VLOOKUP("adipura", inject!A:B, 2, FALSE)</f>
        <v>0</v>
      </c>
      <c r="E26" s="2"/>
      <c r="F26" s="2"/>
      <c r="G26">
        <f>F26 * VLOOKUP("adiwiyata", inject!A:B, 2, FALSE)</f>
        <v>0</v>
      </c>
      <c r="H26" s="2"/>
      <c r="I26" s="2"/>
      <c r="J26">
        <f>I26 * VLOOKUP("proklim", inject!A:B, 2, FALSE)</f>
        <v>0</v>
      </c>
      <c r="K26" s="2"/>
      <c r="L26" s="2"/>
      <c r="M26">
        <f>L26 * VLOOKUP("proper", inject!A:B, 2, FALSE)</f>
        <v>0</v>
      </c>
      <c r="N26" s="2"/>
      <c r="O26" s="2"/>
      <c r="P26">
        <f>O26 * VLOOKUP("kaltaparu", inject!A:B, 2, FALSE)</f>
        <v>0</v>
      </c>
      <c r="Q26" s="2"/>
    </row>
    <row r="27" spans="1:17">
      <c r="A27">
        <v>26</v>
      </c>
      <c r="B27" t="s">
        <v>38</v>
      </c>
      <c r="C27" s="2"/>
      <c r="D27">
        <f>C27 * VLOOKUP("adipura", inject!A:B, 2, FALSE)</f>
        <v>0</v>
      </c>
      <c r="E27" s="2"/>
      <c r="F27" s="2"/>
      <c r="G27">
        <f>F27 * VLOOKUP("adiwiyata", inject!A:B, 2, FALSE)</f>
        <v>0</v>
      </c>
      <c r="H27" s="2"/>
      <c r="I27" s="2"/>
      <c r="J27">
        <f>I27 * VLOOKUP("proklim", inject!A:B, 2, FALSE)</f>
        <v>0</v>
      </c>
      <c r="K27" s="2"/>
      <c r="L27" s="2"/>
      <c r="M27">
        <f>L27 * VLOOKUP("proper", inject!A:B, 2, FALSE)</f>
        <v>0</v>
      </c>
      <c r="N27" s="2"/>
      <c r="O27" s="2"/>
      <c r="P27">
        <f>O27 * VLOOKUP("kaltaparu", inject!A:B, 2, FALSE)</f>
        <v>0</v>
      </c>
      <c r="Q27" s="2"/>
    </row>
    <row r="28" spans="1:17">
      <c r="A28">
        <v>27</v>
      </c>
      <c r="B28" t="s">
        <v>39</v>
      </c>
      <c r="C28" s="2"/>
      <c r="D28">
        <f>C28 * VLOOKUP("adipura", inject!A:B, 2, FALSE)</f>
        <v>0</v>
      </c>
      <c r="E28" s="2"/>
      <c r="F28" s="2"/>
      <c r="G28">
        <f>F28 * VLOOKUP("adiwiyata", inject!A:B, 2, FALSE)</f>
        <v>0</v>
      </c>
      <c r="H28" s="2"/>
      <c r="I28" s="2"/>
      <c r="J28">
        <f>I28 * VLOOKUP("proklim", inject!A:B, 2, FALSE)</f>
        <v>0</v>
      </c>
      <c r="K28" s="2"/>
      <c r="L28" s="2"/>
      <c r="M28">
        <f>L28 * VLOOKUP("proper", inject!A:B, 2, FALSE)</f>
        <v>0</v>
      </c>
      <c r="N28" s="2"/>
      <c r="O28" s="2"/>
      <c r="P28">
        <f>O28 * VLOOKUP("kaltaparu", inject!A:B, 2, FALSE)</f>
        <v>0</v>
      </c>
      <c r="Q28" s="2"/>
    </row>
    <row r="29" spans="1:17">
      <c r="A29">
        <v>28</v>
      </c>
      <c r="B29" t="s">
        <v>40</v>
      </c>
      <c r="C29" s="2"/>
      <c r="D29">
        <f>C29 * VLOOKUP("adipura", inject!A:B, 2, FALSE)</f>
        <v>0</v>
      </c>
      <c r="E29" s="2"/>
      <c r="F29" s="2"/>
      <c r="G29">
        <f>F29 * VLOOKUP("adiwiyata", inject!A:B, 2, FALSE)</f>
        <v>0</v>
      </c>
      <c r="H29" s="2"/>
      <c r="I29" s="2"/>
      <c r="J29">
        <f>I29 * VLOOKUP("proklim", inject!A:B, 2, FALSE)</f>
        <v>0</v>
      </c>
      <c r="K29" s="2"/>
      <c r="L29" s="2"/>
      <c r="M29">
        <f>L29 * VLOOKUP("proper", inject!A:B, 2, FALSE)</f>
        <v>0</v>
      </c>
      <c r="N29" s="2"/>
      <c r="O29" s="2"/>
      <c r="P29">
        <f>O29 * VLOOKUP("kaltaparu", inject!A:B, 2, FALSE)</f>
        <v>0</v>
      </c>
      <c r="Q29" s="2"/>
    </row>
    <row r="30" spans="1:17">
      <c r="A30">
        <v>29</v>
      </c>
      <c r="B30" t="s">
        <v>41</v>
      </c>
      <c r="C30" s="2"/>
      <c r="D30">
        <f>C30 * VLOOKUP("adipura", inject!A:B, 2, FALSE)</f>
        <v>0</v>
      </c>
      <c r="E30" s="2"/>
      <c r="F30" s="2"/>
      <c r="G30">
        <f>F30 * VLOOKUP("adiwiyata", inject!A:B, 2, FALSE)</f>
        <v>0</v>
      </c>
      <c r="H30" s="2"/>
      <c r="I30" s="2"/>
      <c r="J30">
        <f>I30 * VLOOKUP("proklim", inject!A:B, 2, FALSE)</f>
        <v>0</v>
      </c>
      <c r="K30" s="2"/>
      <c r="L30" s="2"/>
      <c r="M30">
        <f>L30 * VLOOKUP("proper", inject!A:B, 2, FALSE)</f>
        <v>0</v>
      </c>
      <c r="N30" s="2"/>
      <c r="O30" s="2"/>
      <c r="P30">
        <f>O30 * VLOOKUP("kaltaparu", inject!A:B, 2, FALSE)</f>
        <v>0</v>
      </c>
      <c r="Q30" s="2"/>
    </row>
    <row r="31" spans="1:17">
      <c r="A31">
        <v>30</v>
      </c>
      <c r="B31" t="s">
        <v>42</v>
      </c>
      <c r="C31" s="2"/>
      <c r="D31">
        <f>C31 * VLOOKUP("adipura", inject!A:B, 2, FALSE)</f>
        <v>0</v>
      </c>
      <c r="E31" s="2"/>
      <c r="F31" s="2"/>
      <c r="G31">
        <f>F31 * VLOOKUP("adiwiyata", inject!A:B, 2, FALSE)</f>
        <v>0</v>
      </c>
      <c r="H31" s="2"/>
      <c r="I31" s="2"/>
      <c r="J31">
        <f>I31 * VLOOKUP("proklim", inject!A:B, 2, FALSE)</f>
        <v>0</v>
      </c>
      <c r="K31" s="2"/>
      <c r="L31" s="2"/>
      <c r="M31">
        <f>L31 * VLOOKUP("proper", inject!A:B, 2, FALSE)</f>
        <v>0</v>
      </c>
      <c r="N31" s="2"/>
      <c r="O31" s="2"/>
      <c r="P31">
        <f>O31 * VLOOKUP("kaltaparu", inject!A:B, 2, FALSE)</f>
        <v>0</v>
      </c>
      <c r="Q31" s="2"/>
    </row>
    <row r="32" spans="1:17">
      <c r="A32">
        <v>31</v>
      </c>
      <c r="B32" t="s">
        <v>43</v>
      </c>
      <c r="C32" s="2"/>
      <c r="D32">
        <f>C32 * VLOOKUP("adipura", inject!A:B, 2, FALSE)</f>
        <v>0</v>
      </c>
      <c r="E32" s="2"/>
      <c r="F32" s="2"/>
      <c r="G32">
        <f>F32 * VLOOKUP("adiwiyata", inject!A:B, 2, FALSE)</f>
        <v>0</v>
      </c>
      <c r="H32" s="2"/>
      <c r="I32" s="2"/>
      <c r="J32">
        <f>I32 * VLOOKUP("proklim", inject!A:B, 2, FALSE)</f>
        <v>0</v>
      </c>
      <c r="K32" s="2"/>
      <c r="L32" s="2"/>
      <c r="M32">
        <f>L32 * VLOOKUP("proper", inject!A:B, 2, FALSE)</f>
        <v>0</v>
      </c>
      <c r="N32" s="2"/>
      <c r="O32" s="2"/>
      <c r="P32">
        <f>O32 * VLOOKUP("kaltaparu", inject!A:B, 2, FALSE)</f>
        <v>0</v>
      </c>
      <c r="Q32" s="2"/>
    </row>
    <row r="33" spans="1:17">
      <c r="A33">
        <v>32</v>
      </c>
      <c r="B33" t="s">
        <v>44</v>
      </c>
      <c r="C33" s="2"/>
      <c r="D33">
        <f>C33 * VLOOKUP("adipura", inject!A:B, 2, FALSE)</f>
        <v>0</v>
      </c>
      <c r="E33" s="2"/>
      <c r="F33" s="2"/>
      <c r="G33">
        <f>F33 * VLOOKUP("adiwiyata", inject!A:B, 2, FALSE)</f>
        <v>0</v>
      </c>
      <c r="H33" s="2"/>
      <c r="I33" s="2"/>
      <c r="J33">
        <f>I33 * VLOOKUP("proklim", inject!A:B, 2, FALSE)</f>
        <v>0</v>
      </c>
      <c r="K33" s="2"/>
      <c r="L33" s="2"/>
      <c r="M33">
        <f>L33 * VLOOKUP("proper", inject!A:B, 2, FALSE)</f>
        <v>0</v>
      </c>
      <c r="N33" s="2"/>
      <c r="O33" s="2"/>
      <c r="P33">
        <f>O33 * VLOOKUP("kaltaparu", inject!A:B, 2, FALSE)</f>
        <v>0</v>
      </c>
      <c r="Q33" s="2"/>
    </row>
    <row r="34" spans="1:17">
      <c r="A34">
        <v>33</v>
      </c>
      <c r="B34" t="s">
        <v>45</v>
      </c>
      <c r="C34" s="2"/>
      <c r="D34">
        <f>C34 * VLOOKUP("adipura", inject!A:B, 2, FALSE)</f>
        <v>0</v>
      </c>
      <c r="E34" s="2"/>
      <c r="F34" s="2"/>
      <c r="G34">
        <f>F34 * VLOOKUP("adiwiyata", inject!A:B, 2, FALSE)</f>
        <v>0</v>
      </c>
      <c r="H34" s="2"/>
      <c r="I34" s="2"/>
      <c r="J34">
        <f>I34 * VLOOKUP("proklim", inject!A:B, 2, FALSE)</f>
        <v>0</v>
      </c>
      <c r="K34" s="2"/>
      <c r="L34" s="2"/>
      <c r="M34">
        <f>L34 * VLOOKUP("proper", inject!A:B, 2, FALSE)</f>
        <v>0</v>
      </c>
      <c r="N34" s="2"/>
      <c r="O34" s="2"/>
      <c r="P34">
        <f>O34 * VLOOKUP("kaltaparu", inject!A:B, 2, FALSE)</f>
        <v>0</v>
      </c>
      <c r="Q34" s="2"/>
    </row>
    <row r="35" spans="1:17">
      <c r="A35">
        <v>34</v>
      </c>
      <c r="B35" t="s">
        <v>46</v>
      </c>
      <c r="C35" s="2"/>
      <c r="D35">
        <f>C35 * VLOOKUP("adipura", inject!A:B, 2, FALSE)</f>
        <v>0</v>
      </c>
      <c r="E35" s="2"/>
      <c r="F35" s="2"/>
      <c r="G35">
        <f>F35 * VLOOKUP("adiwiyata", inject!A:B, 2, FALSE)</f>
        <v>0</v>
      </c>
      <c r="H35" s="2"/>
      <c r="I35" s="2"/>
      <c r="J35">
        <f>I35 * VLOOKUP("proklim", inject!A:B, 2, FALSE)</f>
        <v>0</v>
      </c>
      <c r="K35" s="2"/>
      <c r="L35" s="2"/>
      <c r="M35">
        <f>L35 * VLOOKUP("proper", inject!A:B, 2, FALSE)</f>
        <v>0</v>
      </c>
      <c r="N35" s="2"/>
      <c r="O35" s="2"/>
      <c r="P35">
        <f>O35 * VLOOKUP("kaltaparu", inject!A:B, 2, FALSE)</f>
        <v>0</v>
      </c>
      <c r="Q35" s="2"/>
    </row>
    <row r="36" spans="1:17">
      <c r="A36">
        <v>35</v>
      </c>
      <c r="B36" t="s">
        <v>47</v>
      </c>
      <c r="C36" s="2"/>
      <c r="D36">
        <f>C36 * VLOOKUP("adipura", inject!A:B, 2, FALSE)</f>
        <v>0</v>
      </c>
      <c r="E36" s="2"/>
      <c r="F36" s="2"/>
      <c r="G36">
        <f>F36 * VLOOKUP("adiwiyata", inject!A:B, 2, FALSE)</f>
        <v>0</v>
      </c>
      <c r="H36" s="2"/>
      <c r="I36" s="2"/>
      <c r="J36">
        <f>I36 * VLOOKUP("proklim", inject!A:B, 2, FALSE)</f>
        <v>0</v>
      </c>
      <c r="K36" s="2"/>
      <c r="L36" s="2"/>
      <c r="M36">
        <f>L36 * VLOOKUP("proper", inject!A:B, 2, FALSE)</f>
        <v>0</v>
      </c>
      <c r="N36" s="2"/>
      <c r="O36" s="2"/>
      <c r="P36">
        <f>O36 * VLOOKUP("kaltaparu", inject!A:B, 2, FALSE)</f>
        <v>0</v>
      </c>
      <c r="Q36" s="2"/>
    </row>
    <row r="37" spans="1:17">
      <c r="A37">
        <v>36</v>
      </c>
      <c r="B37" t="s">
        <v>48</v>
      </c>
      <c r="C37" s="2"/>
      <c r="D37">
        <f>C37 * VLOOKUP("adipura", inject!A:B, 2, FALSE)</f>
        <v>0</v>
      </c>
      <c r="E37" s="2"/>
      <c r="F37" s="2"/>
      <c r="G37">
        <f>F37 * VLOOKUP("adiwiyata", inject!A:B, 2, FALSE)</f>
        <v>0</v>
      </c>
      <c r="H37" s="2"/>
      <c r="I37" s="2"/>
      <c r="J37">
        <f>I37 * VLOOKUP("proklim", inject!A:B, 2, FALSE)</f>
        <v>0</v>
      </c>
      <c r="K37" s="2"/>
      <c r="L37" s="2"/>
      <c r="M37">
        <f>L37 * VLOOKUP("proper", inject!A:B, 2, FALSE)</f>
        <v>0</v>
      </c>
      <c r="N37" s="2"/>
      <c r="O37" s="2"/>
      <c r="P37">
        <f>O37 * VLOOKUP("kaltaparu", inject!A:B, 2, FALSE)</f>
        <v>0</v>
      </c>
      <c r="Q37" s="2"/>
    </row>
    <row r="38" spans="1:17">
      <c r="A38">
        <v>37</v>
      </c>
      <c r="B38" t="s">
        <v>49</v>
      </c>
      <c r="C38" s="2"/>
      <c r="D38">
        <f>C38 * VLOOKUP("adipura", inject!A:B, 2, FALSE)</f>
        <v>0</v>
      </c>
      <c r="E38" s="2"/>
      <c r="F38" s="2"/>
      <c r="G38">
        <f>F38 * VLOOKUP("adiwiyata", inject!A:B, 2, FALSE)</f>
        <v>0</v>
      </c>
      <c r="H38" s="2"/>
      <c r="I38" s="2"/>
      <c r="J38">
        <f>I38 * VLOOKUP("proklim", inject!A:B, 2, FALSE)</f>
        <v>0</v>
      </c>
      <c r="K38" s="2"/>
      <c r="L38" s="2"/>
      <c r="M38">
        <f>L38 * VLOOKUP("proper", inject!A:B, 2, FALSE)</f>
        <v>0</v>
      </c>
      <c r="N38" s="2"/>
      <c r="O38" s="2"/>
      <c r="P38">
        <f>O38 * VLOOKUP("kaltaparu", inject!A:B, 2, FALSE)</f>
        <v>0</v>
      </c>
      <c r="Q38" s="2"/>
    </row>
    <row r="39" spans="1:17">
      <c r="A39">
        <v>38</v>
      </c>
      <c r="B39" t="s">
        <v>50</v>
      </c>
      <c r="C39" s="2"/>
      <c r="D39">
        <f>C39 * VLOOKUP("adipura", inject!A:B, 2, FALSE)</f>
        <v>0</v>
      </c>
      <c r="E39" s="2"/>
      <c r="F39" s="2"/>
      <c r="G39">
        <f>F39 * VLOOKUP("adiwiyata", inject!A:B, 2, FALSE)</f>
        <v>0</v>
      </c>
      <c r="H39" s="2"/>
      <c r="I39" s="2"/>
      <c r="J39">
        <f>I39 * VLOOKUP("proklim", inject!A:B, 2, FALSE)</f>
        <v>0</v>
      </c>
      <c r="K39" s="2"/>
      <c r="L39" s="2"/>
      <c r="M39">
        <f>L39 * VLOOKUP("proper", inject!A:B, 2, FALSE)</f>
        <v>0</v>
      </c>
      <c r="N39" s="2"/>
      <c r="O39" s="2"/>
      <c r="P39">
        <f>O39 * VLOOKUP("kaltaparu", inject!A:B, 2, FALSE)</f>
        <v>0</v>
      </c>
      <c r="Q39" s="2"/>
    </row>
    <row r="40" spans="1:17">
      <c r="A40">
        <v>39</v>
      </c>
      <c r="B40" t="s">
        <v>51</v>
      </c>
      <c r="C40" s="2"/>
      <c r="D40">
        <f>C40 * VLOOKUP("adipura", inject!A:B, 2, FALSE)</f>
        <v>0</v>
      </c>
      <c r="E40" s="2"/>
      <c r="F40" s="2"/>
      <c r="G40">
        <f>F40 * VLOOKUP("adiwiyata", inject!A:B, 2, FALSE)</f>
        <v>0</v>
      </c>
      <c r="H40" s="2"/>
      <c r="I40" s="2"/>
      <c r="J40">
        <f>I40 * VLOOKUP("proklim", inject!A:B, 2, FALSE)</f>
        <v>0</v>
      </c>
      <c r="K40" s="2"/>
      <c r="L40" s="2"/>
      <c r="M40">
        <f>L40 * VLOOKUP("proper", inject!A:B, 2, FALSE)</f>
        <v>0</v>
      </c>
      <c r="N40" s="2"/>
      <c r="O40" s="2"/>
      <c r="P40">
        <f>O40 * VLOOKUP("kaltaparu", inject!A:B, 2, FALSE)</f>
        <v>0</v>
      </c>
      <c r="Q40" s="2"/>
    </row>
    <row r="41" spans="1:17">
      <c r="A41">
        <v>40</v>
      </c>
      <c r="B41" t="s">
        <v>52</v>
      </c>
      <c r="C41" s="2"/>
      <c r="D41">
        <f>C41 * VLOOKUP("adipura", inject!A:B, 2, FALSE)</f>
        <v>0</v>
      </c>
      <c r="E41" s="2"/>
      <c r="F41" s="2"/>
      <c r="G41">
        <f>F41 * VLOOKUP("adiwiyata", inject!A:B, 2, FALSE)</f>
        <v>0</v>
      </c>
      <c r="H41" s="2"/>
      <c r="I41" s="2"/>
      <c r="J41">
        <f>I41 * VLOOKUP("proklim", inject!A:B, 2, FALSE)</f>
        <v>0</v>
      </c>
      <c r="K41" s="2"/>
      <c r="L41" s="2"/>
      <c r="M41">
        <f>L41 * VLOOKUP("proper", inject!A:B, 2, FALSE)</f>
        <v>0</v>
      </c>
      <c r="N41" s="2"/>
      <c r="O41" s="2"/>
      <c r="P41">
        <f>O41 * VLOOKUP("kaltaparu", inject!A:B, 2, FALSE)</f>
        <v>0</v>
      </c>
      <c r="Q41" s="2"/>
    </row>
    <row r="42" spans="1:17">
      <c r="A42">
        <v>41</v>
      </c>
      <c r="B42" t="s">
        <v>53</v>
      </c>
      <c r="C42" s="2"/>
      <c r="D42">
        <f>C42 * VLOOKUP("adipura", inject!A:B, 2, FALSE)</f>
        <v>0</v>
      </c>
      <c r="E42" s="2"/>
      <c r="F42" s="2"/>
      <c r="G42">
        <f>F42 * VLOOKUP("adiwiyata", inject!A:B, 2, FALSE)</f>
        <v>0</v>
      </c>
      <c r="H42" s="2"/>
      <c r="I42" s="2"/>
      <c r="J42">
        <f>I42 * VLOOKUP("proklim", inject!A:B, 2, FALSE)</f>
        <v>0</v>
      </c>
      <c r="K42" s="2"/>
      <c r="L42" s="2"/>
      <c r="M42">
        <f>L42 * VLOOKUP("proper", inject!A:B, 2, FALSE)</f>
        <v>0</v>
      </c>
      <c r="N42" s="2"/>
      <c r="O42" s="2"/>
      <c r="P42">
        <f>O42 * VLOOKUP("kaltaparu", inject!A:B, 2, FALSE)</f>
        <v>0</v>
      </c>
      <c r="Q42" s="2"/>
    </row>
    <row r="43" spans="1:17">
      <c r="A43">
        <v>42</v>
      </c>
      <c r="B43" t="s">
        <v>54</v>
      </c>
      <c r="C43" s="2"/>
      <c r="D43">
        <f>C43 * VLOOKUP("adipura", inject!A:B, 2, FALSE)</f>
        <v>0</v>
      </c>
      <c r="E43" s="2"/>
      <c r="F43" s="2"/>
      <c r="G43">
        <f>F43 * VLOOKUP("adiwiyata", inject!A:B, 2, FALSE)</f>
        <v>0</v>
      </c>
      <c r="H43" s="2"/>
      <c r="I43" s="2"/>
      <c r="J43">
        <f>I43 * VLOOKUP("proklim", inject!A:B, 2, FALSE)</f>
        <v>0</v>
      </c>
      <c r="K43" s="2"/>
      <c r="L43" s="2"/>
      <c r="M43">
        <f>L43 * VLOOKUP("proper", inject!A:B, 2, FALSE)</f>
        <v>0</v>
      </c>
      <c r="N43" s="2"/>
      <c r="O43" s="2"/>
      <c r="P43">
        <f>O43 * VLOOKUP("kaltaparu", inject!A:B, 2, FALSE)</f>
        <v>0</v>
      </c>
      <c r="Q43" s="2"/>
    </row>
    <row r="44" spans="1:17">
      <c r="A44">
        <v>43</v>
      </c>
      <c r="B44" t="s">
        <v>55</v>
      </c>
      <c r="C44" s="2"/>
      <c r="D44">
        <f>C44 * VLOOKUP("adipura", inject!A:B, 2, FALSE)</f>
        <v>0</v>
      </c>
      <c r="E44" s="2"/>
      <c r="F44" s="2"/>
      <c r="G44">
        <f>F44 * VLOOKUP("adiwiyata", inject!A:B, 2, FALSE)</f>
        <v>0</v>
      </c>
      <c r="H44" s="2"/>
      <c r="I44" s="2"/>
      <c r="J44">
        <f>I44 * VLOOKUP("proklim", inject!A:B, 2, FALSE)</f>
        <v>0</v>
      </c>
      <c r="K44" s="2"/>
      <c r="L44" s="2"/>
      <c r="M44">
        <f>L44 * VLOOKUP("proper", inject!A:B, 2, FALSE)</f>
        <v>0</v>
      </c>
      <c r="N44" s="2"/>
      <c r="O44" s="2"/>
      <c r="P44">
        <f>O44 * VLOOKUP("kaltaparu", inject!A:B, 2, FALSE)</f>
        <v>0</v>
      </c>
      <c r="Q44" s="2"/>
    </row>
    <row r="45" spans="1:17">
      <c r="A45">
        <v>44</v>
      </c>
      <c r="B45" t="s">
        <v>56</v>
      </c>
      <c r="C45" s="2"/>
      <c r="D45">
        <f>C45 * VLOOKUP("adipura", inject!A:B, 2, FALSE)</f>
        <v>0</v>
      </c>
      <c r="E45" s="2"/>
      <c r="F45" s="2"/>
      <c r="G45">
        <f>F45 * VLOOKUP("adiwiyata", inject!A:B, 2, FALSE)</f>
        <v>0</v>
      </c>
      <c r="H45" s="2"/>
      <c r="I45" s="2"/>
      <c r="J45">
        <f>I45 * VLOOKUP("proklim", inject!A:B, 2, FALSE)</f>
        <v>0</v>
      </c>
      <c r="K45" s="2"/>
      <c r="L45" s="2"/>
      <c r="M45">
        <f>L45 * VLOOKUP("proper", inject!A:B, 2, FALSE)</f>
        <v>0</v>
      </c>
      <c r="N45" s="2"/>
      <c r="O45" s="2"/>
      <c r="P45">
        <f>O45 * VLOOKUP("kaltaparu", inject!A:B, 2, FALSE)</f>
        <v>0</v>
      </c>
      <c r="Q45" s="2"/>
    </row>
    <row r="46" spans="1:17">
      <c r="A46">
        <v>45</v>
      </c>
      <c r="B46" t="s">
        <v>57</v>
      </c>
      <c r="C46" s="2"/>
      <c r="D46">
        <f>C46 * VLOOKUP("adipura", inject!A:B, 2, FALSE)</f>
        <v>0</v>
      </c>
      <c r="E46" s="2"/>
      <c r="F46" s="2"/>
      <c r="G46">
        <f>F46 * VLOOKUP("adiwiyata", inject!A:B, 2, FALSE)</f>
        <v>0</v>
      </c>
      <c r="H46" s="2"/>
      <c r="I46" s="2"/>
      <c r="J46">
        <f>I46 * VLOOKUP("proklim", inject!A:B, 2, FALSE)</f>
        <v>0</v>
      </c>
      <c r="K46" s="2"/>
      <c r="L46" s="2"/>
      <c r="M46">
        <f>L46 * VLOOKUP("proper", inject!A:B, 2, FALSE)</f>
        <v>0</v>
      </c>
      <c r="N46" s="2"/>
      <c r="O46" s="2"/>
      <c r="P46">
        <f>O46 * VLOOKUP("kaltaparu", inject!A:B, 2, FALSE)</f>
        <v>0</v>
      </c>
      <c r="Q46" s="2"/>
    </row>
    <row r="47" spans="1:17">
      <c r="A47">
        <v>46</v>
      </c>
      <c r="B47" t="s">
        <v>58</v>
      </c>
      <c r="C47" s="2"/>
      <c r="D47">
        <f>C47 * VLOOKUP("adipura", inject!A:B, 2, FALSE)</f>
        <v>0</v>
      </c>
      <c r="E47" s="2"/>
      <c r="F47" s="2"/>
      <c r="G47">
        <f>F47 * VLOOKUP("adiwiyata", inject!A:B, 2, FALSE)</f>
        <v>0</v>
      </c>
      <c r="H47" s="2"/>
      <c r="I47" s="2"/>
      <c r="J47">
        <f>I47 * VLOOKUP("proklim", inject!A:B, 2, FALSE)</f>
        <v>0</v>
      </c>
      <c r="K47" s="2"/>
      <c r="L47" s="2"/>
      <c r="M47">
        <f>L47 * VLOOKUP("proper", inject!A:B, 2, FALSE)</f>
        <v>0</v>
      </c>
      <c r="N47" s="2"/>
      <c r="O47" s="2"/>
      <c r="P47">
        <f>O47 * VLOOKUP("kaltaparu", inject!A:B, 2, FALSE)</f>
        <v>0</v>
      </c>
      <c r="Q47" s="2"/>
    </row>
    <row r="48" spans="1:17">
      <c r="A48">
        <v>47</v>
      </c>
      <c r="B48" t="s">
        <v>59</v>
      </c>
      <c r="C48" s="2"/>
      <c r="D48">
        <f>C48 * VLOOKUP("adipura", inject!A:B, 2, FALSE)</f>
        <v>0</v>
      </c>
      <c r="E48" s="2"/>
      <c r="F48" s="2"/>
      <c r="G48">
        <f>F48 * VLOOKUP("adiwiyata", inject!A:B, 2, FALSE)</f>
        <v>0</v>
      </c>
      <c r="H48" s="2"/>
      <c r="I48" s="2"/>
      <c r="J48">
        <f>I48 * VLOOKUP("proklim", inject!A:B, 2, FALSE)</f>
        <v>0</v>
      </c>
      <c r="K48" s="2"/>
      <c r="L48" s="2"/>
      <c r="M48">
        <f>L48 * VLOOKUP("proper", inject!A:B, 2, FALSE)</f>
        <v>0</v>
      </c>
      <c r="N48" s="2"/>
      <c r="O48" s="2"/>
      <c r="P48">
        <f>O48 * VLOOKUP("kaltaparu", inject!A:B, 2, FALSE)</f>
        <v>0</v>
      </c>
      <c r="Q48" s="2"/>
    </row>
    <row r="49" spans="1:17">
      <c r="A49">
        <v>48</v>
      </c>
      <c r="B49" t="s">
        <v>60</v>
      </c>
      <c r="C49" s="2"/>
      <c r="D49">
        <f>C49 * VLOOKUP("adipura", inject!A:B, 2, FALSE)</f>
        <v>0</v>
      </c>
      <c r="E49" s="2"/>
      <c r="F49" s="2"/>
      <c r="G49">
        <f>F49 * VLOOKUP("adiwiyata", inject!A:B, 2, FALSE)</f>
        <v>0</v>
      </c>
      <c r="H49" s="2"/>
      <c r="I49" s="2"/>
      <c r="J49">
        <f>I49 * VLOOKUP("proklim", inject!A:B, 2, FALSE)</f>
        <v>0</v>
      </c>
      <c r="K49" s="2"/>
      <c r="L49" s="2"/>
      <c r="M49">
        <f>L49 * VLOOKUP("proper", inject!A:B, 2, FALSE)</f>
        <v>0</v>
      </c>
      <c r="N49" s="2"/>
      <c r="O49" s="2"/>
      <c r="P49">
        <f>O49 * VLOOKUP("kaltaparu", inject!A:B, 2, FALSE)</f>
        <v>0</v>
      </c>
      <c r="Q49" s="2"/>
    </row>
    <row r="50" spans="1:17">
      <c r="A50">
        <v>49</v>
      </c>
      <c r="B50" t="s">
        <v>61</v>
      </c>
      <c r="C50" s="2"/>
      <c r="D50">
        <f>C50 * VLOOKUP("adipura", inject!A:B, 2, FALSE)</f>
        <v>0</v>
      </c>
      <c r="E50" s="2"/>
      <c r="F50" s="2"/>
      <c r="G50">
        <f>F50 * VLOOKUP("adiwiyata", inject!A:B, 2, FALSE)</f>
        <v>0</v>
      </c>
      <c r="H50" s="2"/>
      <c r="I50" s="2"/>
      <c r="J50">
        <f>I50 * VLOOKUP("proklim", inject!A:B, 2, FALSE)</f>
        <v>0</v>
      </c>
      <c r="K50" s="2"/>
      <c r="L50" s="2"/>
      <c r="M50">
        <f>L50 * VLOOKUP("proper", inject!A:B, 2, FALSE)</f>
        <v>0</v>
      </c>
      <c r="N50" s="2"/>
      <c r="O50" s="2"/>
      <c r="P50">
        <f>O50 * VLOOKUP("kaltaparu", inject!A:B, 2, FALSE)</f>
        <v>0</v>
      </c>
      <c r="Q50" s="2"/>
    </row>
    <row r="51" spans="1:17">
      <c r="A51">
        <v>50</v>
      </c>
      <c r="B51" t="s">
        <v>62</v>
      </c>
      <c r="C51" s="2"/>
      <c r="D51">
        <f>C51 * VLOOKUP("adipura", inject!A:B, 2, FALSE)</f>
        <v>0</v>
      </c>
      <c r="E51" s="2"/>
      <c r="F51" s="2"/>
      <c r="G51">
        <f>F51 * VLOOKUP("adiwiyata", inject!A:B, 2, FALSE)</f>
        <v>0</v>
      </c>
      <c r="H51" s="2"/>
      <c r="I51" s="2"/>
      <c r="J51">
        <f>I51 * VLOOKUP("proklim", inject!A:B, 2, FALSE)</f>
        <v>0</v>
      </c>
      <c r="K51" s="2"/>
      <c r="L51" s="2"/>
      <c r="M51">
        <f>L51 * VLOOKUP("proper", inject!A:B, 2, FALSE)</f>
        <v>0</v>
      </c>
      <c r="N51" s="2"/>
      <c r="O51" s="2"/>
      <c r="P51">
        <f>O51 * VLOOKUP("kaltaparu", inject!A:B, 2, FALSE)</f>
        <v>0</v>
      </c>
      <c r="Q51" s="2"/>
    </row>
    <row r="52" spans="1:17">
      <c r="A52">
        <v>51</v>
      </c>
      <c r="B52" t="s">
        <v>63</v>
      </c>
      <c r="C52" s="2"/>
      <c r="D52">
        <f>C52 * VLOOKUP("adipura", inject!A:B, 2, FALSE)</f>
        <v>0</v>
      </c>
      <c r="E52" s="2"/>
      <c r="F52" s="2"/>
      <c r="G52">
        <f>F52 * VLOOKUP("adiwiyata", inject!A:B, 2, FALSE)</f>
        <v>0</v>
      </c>
      <c r="H52" s="2"/>
      <c r="I52" s="2"/>
      <c r="J52">
        <f>I52 * VLOOKUP("proklim", inject!A:B, 2, FALSE)</f>
        <v>0</v>
      </c>
      <c r="K52" s="2"/>
      <c r="L52" s="2"/>
      <c r="M52">
        <f>L52 * VLOOKUP("proper", inject!A:B, 2, FALSE)</f>
        <v>0</v>
      </c>
      <c r="N52" s="2"/>
      <c r="O52" s="2"/>
      <c r="P52">
        <f>O52 * VLOOKUP("kaltaparu", inject!A:B, 2, FALSE)</f>
        <v>0</v>
      </c>
      <c r="Q52" s="2"/>
    </row>
    <row r="53" spans="1:17">
      <c r="A53">
        <v>52</v>
      </c>
      <c r="B53" t="s">
        <v>64</v>
      </c>
      <c r="C53" s="2"/>
      <c r="D53">
        <f>C53 * VLOOKUP("adipura", inject!A:B, 2, FALSE)</f>
        <v>0</v>
      </c>
      <c r="E53" s="2"/>
      <c r="F53" s="2"/>
      <c r="G53">
        <f>F53 * VLOOKUP("adiwiyata", inject!A:B, 2, FALSE)</f>
        <v>0</v>
      </c>
      <c r="H53" s="2"/>
      <c r="I53" s="2"/>
      <c r="J53">
        <f>I53 * VLOOKUP("proklim", inject!A:B, 2, FALSE)</f>
        <v>0</v>
      </c>
      <c r="K53" s="2"/>
      <c r="L53" s="2"/>
      <c r="M53">
        <f>L53 * VLOOKUP("proper", inject!A:B, 2, FALSE)</f>
        <v>0</v>
      </c>
      <c r="N53" s="2"/>
      <c r="O53" s="2"/>
      <c r="P53">
        <f>O53 * VLOOKUP("kaltaparu", inject!A:B, 2, FALSE)</f>
        <v>0</v>
      </c>
      <c r="Q53" s="2"/>
    </row>
    <row r="54" spans="1:17">
      <c r="A54">
        <v>53</v>
      </c>
      <c r="B54" t="s">
        <v>65</v>
      </c>
      <c r="C54" s="2"/>
      <c r="D54">
        <f>C54 * VLOOKUP("adipura", inject!A:B, 2, FALSE)</f>
        <v>0</v>
      </c>
      <c r="E54" s="2"/>
      <c r="F54" s="2"/>
      <c r="G54">
        <f>F54 * VLOOKUP("adiwiyata", inject!A:B, 2, FALSE)</f>
        <v>0</v>
      </c>
      <c r="H54" s="2"/>
      <c r="I54" s="2"/>
      <c r="J54">
        <f>I54 * VLOOKUP("proklim", inject!A:B, 2, FALSE)</f>
        <v>0</v>
      </c>
      <c r="K54" s="2"/>
      <c r="L54" s="2"/>
      <c r="M54">
        <f>L54 * VLOOKUP("proper", inject!A:B, 2, FALSE)</f>
        <v>0</v>
      </c>
      <c r="N54" s="2"/>
      <c r="O54" s="2"/>
      <c r="P54">
        <f>O54 * VLOOKUP("kaltaparu", inject!A:B, 2, FALSE)</f>
        <v>0</v>
      </c>
      <c r="Q54" s="2"/>
    </row>
    <row r="55" spans="1:17">
      <c r="A55">
        <v>54</v>
      </c>
      <c r="B55" t="s">
        <v>66</v>
      </c>
      <c r="C55" s="2"/>
      <c r="D55">
        <f>C55 * VLOOKUP("adipura", inject!A:B, 2, FALSE)</f>
        <v>0</v>
      </c>
      <c r="E55" s="2"/>
      <c r="F55" s="2"/>
      <c r="G55">
        <f>F55 * VLOOKUP("adiwiyata", inject!A:B, 2, FALSE)</f>
        <v>0</v>
      </c>
      <c r="H55" s="2"/>
      <c r="I55" s="2"/>
      <c r="J55">
        <f>I55 * VLOOKUP("proklim", inject!A:B, 2, FALSE)</f>
        <v>0</v>
      </c>
      <c r="K55" s="2"/>
      <c r="L55" s="2"/>
      <c r="M55">
        <f>L55 * VLOOKUP("proper", inject!A:B, 2, FALSE)</f>
        <v>0</v>
      </c>
      <c r="N55" s="2"/>
      <c r="O55" s="2"/>
      <c r="P55">
        <f>O55 * VLOOKUP("kaltaparu", inject!A:B, 2, FALSE)</f>
        <v>0</v>
      </c>
      <c r="Q55" s="2"/>
    </row>
    <row r="56" spans="1:17">
      <c r="A56">
        <v>55</v>
      </c>
      <c r="B56" t="s">
        <v>67</v>
      </c>
      <c r="C56" s="2"/>
      <c r="D56">
        <f>C56 * VLOOKUP("adipura", inject!A:B, 2, FALSE)</f>
        <v>0</v>
      </c>
      <c r="E56" s="2"/>
      <c r="F56" s="2"/>
      <c r="G56">
        <f>F56 * VLOOKUP("adiwiyata", inject!A:B, 2, FALSE)</f>
        <v>0</v>
      </c>
      <c r="H56" s="2"/>
      <c r="I56" s="2"/>
      <c r="J56">
        <f>I56 * VLOOKUP("proklim", inject!A:B, 2, FALSE)</f>
        <v>0</v>
      </c>
      <c r="K56" s="2"/>
      <c r="L56" s="2"/>
      <c r="M56">
        <f>L56 * VLOOKUP("proper", inject!A:B, 2, FALSE)</f>
        <v>0</v>
      </c>
      <c r="N56" s="2"/>
      <c r="O56" s="2"/>
      <c r="P56">
        <f>O56 * VLOOKUP("kaltaparu", inject!A:B, 2, FALSE)</f>
        <v>0</v>
      </c>
      <c r="Q56" s="2"/>
    </row>
    <row r="57" spans="1:17">
      <c r="A57">
        <v>56</v>
      </c>
      <c r="B57" t="s">
        <v>68</v>
      </c>
      <c r="C57" s="2"/>
      <c r="D57">
        <f>C57 * VLOOKUP("adipura", inject!A:B, 2, FALSE)</f>
        <v>0</v>
      </c>
      <c r="E57" s="2"/>
      <c r="F57" s="2"/>
      <c r="G57">
        <f>F57 * VLOOKUP("adiwiyata", inject!A:B, 2, FALSE)</f>
        <v>0</v>
      </c>
      <c r="H57" s="2"/>
      <c r="I57" s="2"/>
      <c r="J57">
        <f>I57 * VLOOKUP("proklim", inject!A:B, 2, FALSE)</f>
        <v>0</v>
      </c>
      <c r="K57" s="2"/>
      <c r="L57" s="2"/>
      <c r="M57">
        <f>L57 * VLOOKUP("proper", inject!A:B, 2, FALSE)</f>
        <v>0</v>
      </c>
      <c r="N57" s="2"/>
      <c r="O57" s="2"/>
      <c r="P57">
        <f>O57 * VLOOKUP("kaltaparu", inject!A:B, 2, FALSE)</f>
        <v>0</v>
      </c>
      <c r="Q57" s="2"/>
    </row>
    <row r="58" spans="1:17">
      <c r="A58">
        <v>57</v>
      </c>
      <c r="B58" t="s">
        <v>69</v>
      </c>
      <c r="C58" s="2"/>
      <c r="D58">
        <f>C58 * VLOOKUP("adipura", inject!A:B, 2, FALSE)</f>
        <v>0</v>
      </c>
      <c r="E58" s="2"/>
      <c r="F58" s="2"/>
      <c r="G58">
        <f>F58 * VLOOKUP("adiwiyata", inject!A:B, 2, FALSE)</f>
        <v>0</v>
      </c>
      <c r="H58" s="2"/>
      <c r="I58" s="2"/>
      <c r="J58">
        <f>I58 * VLOOKUP("proklim", inject!A:B, 2, FALSE)</f>
        <v>0</v>
      </c>
      <c r="K58" s="2"/>
      <c r="L58" s="2"/>
      <c r="M58">
        <f>L58 * VLOOKUP("proper", inject!A:B, 2, FALSE)</f>
        <v>0</v>
      </c>
      <c r="N58" s="2"/>
      <c r="O58" s="2"/>
      <c r="P58">
        <f>O58 * VLOOKUP("kaltaparu", inject!A:B, 2, FALSE)</f>
        <v>0</v>
      </c>
      <c r="Q58" s="2"/>
    </row>
    <row r="59" spans="1:17">
      <c r="A59">
        <v>58</v>
      </c>
      <c r="B59" t="s">
        <v>70</v>
      </c>
      <c r="C59" s="2"/>
      <c r="D59">
        <f>C59 * VLOOKUP("adipura", inject!A:B, 2, FALSE)</f>
        <v>0</v>
      </c>
      <c r="E59" s="2"/>
      <c r="F59" s="2"/>
      <c r="G59">
        <f>F59 * VLOOKUP("adiwiyata", inject!A:B, 2, FALSE)</f>
        <v>0</v>
      </c>
      <c r="H59" s="2"/>
      <c r="I59" s="2"/>
      <c r="J59">
        <f>I59 * VLOOKUP("proklim", inject!A:B, 2, FALSE)</f>
        <v>0</v>
      </c>
      <c r="K59" s="2"/>
      <c r="L59" s="2"/>
      <c r="M59">
        <f>L59 * VLOOKUP("proper", inject!A:B, 2, FALSE)</f>
        <v>0</v>
      </c>
      <c r="N59" s="2"/>
      <c r="O59" s="2"/>
      <c r="P59">
        <f>O59 * VLOOKUP("kaltaparu", inject!A:B, 2, FALSE)</f>
        <v>0</v>
      </c>
      <c r="Q59" s="2"/>
    </row>
    <row r="60" spans="1:17">
      <c r="A60">
        <v>59</v>
      </c>
      <c r="B60" t="s">
        <v>71</v>
      </c>
      <c r="C60" s="2"/>
      <c r="D60">
        <f>C60 * VLOOKUP("adipura", inject!A:B, 2, FALSE)</f>
        <v>0</v>
      </c>
      <c r="E60" s="2"/>
      <c r="F60" s="2"/>
      <c r="G60">
        <f>F60 * VLOOKUP("adiwiyata", inject!A:B, 2, FALSE)</f>
        <v>0</v>
      </c>
      <c r="H60" s="2"/>
      <c r="I60" s="2"/>
      <c r="J60">
        <f>I60 * VLOOKUP("proklim", inject!A:B, 2, FALSE)</f>
        <v>0</v>
      </c>
      <c r="K60" s="2"/>
      <c r="L60" s="2"/>
      <c r="M60">
        <f>L60 * VLOOKUP("proper", inject!A:B, 2, FALSE)</f>
        <v>0</v>
      </c>
      <c r="N60" s="2"/>
      <c r="O60" s="2"/>
      <c r="P60">
        <f>O60 * VLOOKUP("kaltaparu", inject!A:B, 2, FALSE)</f>
        <v>0</v>
      </c>
      <c r="Q60" s="2"/>
    </row>
    <row r="61" spans="1:17">
      <c r="A61">
        <v>60</v>
      </c>
      <c r="B61" t="s">
        <v>72</v>
      </c>
      <c r="C61" s="2"/>
      <c r="D61">
        <f>C61 * VLOOKUP("adipura", inject!A:B, 2, FALSE)</f>
        <v>0</v>
      </c>
      <c r="E61" s="2"/>
      <c r="F61" s="2"/>
      <c r="G61">
        <f>F61 * VLOOKUP("adiwiyata", inject!A:B, 2, FALSE)</f>
        <v>0</v>
      </c>
      <c r="H61" s="2"/>
      <c r="I61" s="2"/>
      <c r="J61">
        <f>I61 * VLOOKUP("proklim", inject!A:B, 2, FALSE)</f>
        <v>0</v>
      </c>
      <c r="K61" s="2"/>
      <c r="L61" s="2"/>
      <c r="M61">
        <f>L61 * VLOOKUP("proper", inject!A:B, 2, FALSE)</f>
        <v>0</v>
      </c>
      <c r="N61" s="2"/>
      <c r="O61" s="2"/>
      <c r="P61">
        <f>O61 * VLOOKUP("kaltaparu", inject!A:B, 2, FALSE)</f>
        <v>0</v>
      </c>
      <c r="Q61" s="2"/>
    </row>
    <row r="62" spans="1:17">
      <c r="A62">
        <v>61</v>
      </c>
      <c r="B62" t="s">
        <v>73</v>
      </c>
      <c r="C62" s="2"/>
      <c r="D62">
        <f>C62 * VLOOKUP("adipura", inject!A:B, 2, FALSE)</f>
        <v>0</v>
      </c>
      <c r="E62" s="2"/>
      <c r="F62" s="2"/>
      <c r="G62">
        <f>F62 * VLOOKUP("adiwiyata", inject!A:B, 2, FALSE)</f>
        <v>0</v>
      </c>
      <c r="H62" s="2"/>
      <c r="I62" s="2"/>
      <c r="J62">
        <f>I62 * VLOOKUP("proklim", inject!A:B, 2, FALSE)</f>
        <v>0</v>
      </c>
      <c r="K62" s="2"/>
      <c r="L62" s="2"/>
      <c r="M62">
        <f>L62 * VLOOKUP("proper", inject!A:B, 2, FALSE)</f>
        <v>0</v>
      </c>
      <c r="N62" s="2"/>
      <c r="O62" s="2"/>
      <c r="P62">
        <f>O62 * VLOOKUP("kaltaparu", inject!A:B, 2, FALSE)</f>
        <v>0</v>
      </c>
      <c r="Q62" s="2"/>
    </row>
    <row r="63" spans="1:17">
      <c r="A63">
        <v>62</v>
      </c>
      <c r="B63" t="s">
        <v>74</v>
      </c>
      <c r="C63" s="2"/>
      <c r="D63">
        <f>C63 * VLOOKUP("adipura", inject!A:B, 2, FALSE)</f>
        <v>0</v>
      </c>
      <c r="E63" s="2"/>
      <c r="F63" s="2"/>
      <c r="G63">
        <f>F63 * VLOOKUP("adiwiyata", inject!A:B, 2, FALSE)</f>
        <v>0</v>
      </c>
      <c r="H63" s="2"/>
      <c r="I63" s="2"/>
      <c r="J63">
        <f>I63 * VLOOKUP("proklim", inject!A:B, 2, FALSE)</f>
        <v>0</v>
      </c>
      <c r="K63" s="2"/>
      <c r="L63" s="2"/>
      <c r="M63">
        <f>L63 * VLOOKUP("proper", inject!A:B, 2, FALSE)</f>
        <v>0</v>
      </c>
      <c r="N63" s="2"/>
      <c r="O63" s="2"/>
      <c r="P63">
        <f>O63 * VLOOKUP("kaltaparu", inject!A:B, 2, FALSE)</f>
        <v>0</v>
      </c>
      <c r="Q63" s="2"/>
    </row>
    <row r="64" spans="1:17">
      <c r="A64">
        <v>63</v>
      </c>
      <c r="B64" t="s">
        <v>75</v>
      </c>
      <c r="C64" s="2"/>
      <c r="D64">
        <f>C64 * VLOOKUP("adipura", inject!A:B, 2, FALSE)</f>
        <v>0</v>
      </c>
      <c r="E64" s="2"/>
      <c r="F64" s="2"/>
      <c r="G64">
        <f>F64 * VLOOKUP("adiwiyata", inject!A:B, 2, FALSE)</f>
        <v>0</v>
      </c>
      <c r="H64" s="2"/>
      <c r="I64" s="2"/>
      <c r="J64">
        <f>I64 * VLOOKUP("proklim", inject!A:B, 2, FALSE)</f>
        <v>0</v>
      </c>
      <c r="K64" s="2"/>
      <c r="L64" s="2"/>
      <c r="M64">
        <f>L64 * VLOOKUP("proper", inject!A:B, 2, FALSE)</f>
        <v>0</v>
      </c>
      <c r="N64" s="2"/>
      <c r="O64" s="2"/>
      <c r="P64">
        <f>O64 * VLOOKUP("kaltaparu", inject!A:B, 2, FALSE)</f>
        <v>0</v>
      </c>
      <c r="Q64" s="2"/>
    </row>
    <row r="65" spans="1:17">
      <c r="A65">
        <v>64</v>
      </c>
      <c r="B65" t="s">
        <v>76</v>
      </c>
      <c r="C65" s="2"/>
      <c r="D65">
        <f>C65 * VLOOKUP("adipura", inject!A:B, 2, FALSE)</f>
        <v>0</v>
      </c>
      <c r="E65" s="2"/>
      <c r="F65" s="2"/>
      <c r="G65">
        <f>F65 * VLOOKUP("adiwiyata", inject!A:B, 2, FALSE)</f>
        <v>0</v>
      </c>
      <c r="H65" s="2"/>
      <c r="I65" s="2"/>
      <c r="J65">
        <f>I65 * VLOOKUP("proklim", inject!A:B, 2, FALSE)</f>
        <v>0</v>
      </c>
      <c r="K65" s="2"/>
      <c r="L65" s="2"/>
      <c r="M65">
        <f>L65 * VLOOKUP("proper", inject!A:B, 2, FALSE)</f>
        <v>0</v>
      </c>
      <c r="N65" s="2"/>
      <c r="O65" s="2"/>
      <c r="P65">
        <f>O65 * VLOOKUP("kaltaparu", inject!A:B, 2, FALSE)</f>
        <v>0</v>
      </c>
      <c r="Q65" s="2"/>
    </row>
    <row r="66" spans="1:17">
      <c r="A66">
        <v>65</v>
      </c>
      <c r="B66" t="s">
        <v>77</v>
      </c>
      <c r="C66" s="2"/>
      <c r="D66">
        <f>C66 * VLOOKUP("adipura", inject!A:B, 2, FALSE)</f>
        <v>0</v>
      </c>
      <c r="E66" s="2"/>
      <c r="F66" s="2"/>
      <c r="G66">
        <f>F66 * VLOOKUP("adiwiyata", inject!A:B, 2, FALSE)</f>
        <v>0</v>
      </c>
      <c r="H66" s="2"/>
      <c r="I66" s="2"/>
      <c r="J66">
        <f>I66 * VLOOKUP("proklim", inject!A:B, 2, FALSE)</f>
        <v>0</v>
      </c>
      <c r="K66" s="2"/>
      <c r="L66" s="2"/>
      <c r="M66">
        <f>L66 * VLOOKUP("proper", inject!A:B, 2, FALSE)</f>
        <v>0</v>
      </c>
      <c r="N66" s="2"/>
      <c r="O66" s="2"/>
      <c r="P66">
        <f>O66 * VLOOKUP("kaltaparu", inject!A:B, 2, FALSE)</f>
        <v>0</v>
      </c>
      <c r="Q66" s="2"/>
    </row>
    <row r="67" spans="1:17">
      <c r="A67">
        <v>66</v>
      </c>
      <c r="B67" t="s">
        <v>78</v>
      </c>
      <c r="C67" s="2"/>
      <c r="D67">
        <f>C67 * VLOOKUP("adipura", inject!A:B, 2, FALSE)</f>
        <v>0</v>
      </c>
      <c r="E67" s="2"/>
      <c r="F67" s="2"/>
      <c r="G67">
        <f>F67 * VLOOKUP("adiwiyata", inject!A:B, 2, FALSE)</f>
        <v>0</v>
      </c>
      <c r="H67" s="2"/>
      <c r="I67" s="2"/>
      <c r="J67">
        <f>I67 * VLOOKUP("proklim", inject!A:B, 2, FALSE)</f>
        <v>0</v>
      </c>
      <c r="K67" s="2"/>
      <c r="L67" s="2"/>
      <c r="M67">
        <f>L67 * VLOOKUP("proper", inject!A:B, 2, FALSE)</f>
        <v>0</v>
      </c>
      <c r="N67" s="2"/>
      <c r="O67" s="2"/>
      <c r="P67">
        <f>O67 * VLOOKUP("kaltaparu", inject!A:B, 2, FALSE)</f>
        <v>0</v>
      </c>
      <c r="Q67" s="2"/>
    </row>
    <row r="68" spans="1:17">
      <c r="A68">
        <v>67</v>
      </c>
      <c r="B68" t="s">
        <v>79</v>
      </c>
      <c r="C68" s="2"/>
      <c r="D68">
        <f>C68 * VLOOKUP("adipura", inject!A:B, 2, FALSE)</f>
        <v>0</v>
      </c>
      <c r="E68" s="2"/>
      <c r="F68" s="2"/>
      <c r="G68">
        <f>F68 * VLOOKUP("adiwiyata", inject!A:B, 2, FALSE)</f>
        <v>0</v>
      </c>
      <c r="H68" s="2"/>
      <c r="I68" s="2"/>
      <c r="J68">
        <f>I68 * VLOOKUP("proklim", inject!A:B, 2, FALSE)</f>
        <v>0</v>
      </c>
      <c r="K68" s="2"/>
      <c r="L68" s="2"/>
      <c r="M68">
        <f>L68 * VLOOKUP("proper", inject!A:B, 2, FALSE)</f>
        <v>0</v>
      </c>
      <c r="N68" s="2"/>
      <c r="O68" s="2"/>
      <c r="P68">
        <f>O68 * VLOOKUP("kaltaparu", inject!A:B, 2, FALSE)</f>
        <v>0</v>
      </c>
      <c r="Q68" s="2"/>
    </row>
    <row r="69" spans="1:17">
      <c r="A69">
        <v>68</v>
      </c>
      <c r="B69" t="s">
        <v>80</v>
      </c>
      <c r="C69" s="2"/>
      <c r="D69">
        <f>C69 * VLOOKUP("adipura", inject!A:B, 2, FALSE)</f>
        <v>0</v>
      </c>
      <c r="E69" s="2"/>
      <c r="F69" s="2"/>
      <c r="G69">
        <f>F69 * VLOOKUP("adiwiyata", inject!A:B, 2, FALSE)</f>
        <v>0</v>
      </c>
      <c r="H69" s="2"/>
      <c r="I69" s="2"/>
      <c r="J69">
        <f>I69 * VLOOKUP("proklim", inject!A:B, 2, FALSE)</f>
        <v>0</v>
      </c>
      <c r="K69" s="2"/>
      <c r="L69" s="2"/>
      <c r="M69">
        <f>L69 * VLOOKUP("proper", inject!A:B, 2, FALSE)</f>
        <v>0</v>
      </c>
      <c r="N69" s="2"/>
      <c r="O69" s="2"/>
      <c r="P69">
        <f>O69 * VLOOKUP("kaltaparu", inject!A:B, 2, FALSE)</f>
        <v>0</v>
      </c>
      <c r="Q69" s="2"/>
    </row>
    <row r="70" spans="1:17">
      <c r="A70">
        <v>69</v>
      </c>
      <c r="B70" t="s">
        <v>81</v>
      </c>
      <c r="C70" s="2"/>
      <c r="D70">
        <f>C70 * VLOOKUP("adipura", inject!A:B, 2, FALSE)</f>
        <v>0</v>
      </c>
      <c r="E70" s="2"/>
      <c r="F70" s="2"/>
      <c r="G70">
        <f>F70 * VLOOKUP("adiwiyata", inject!A:B, 2, FALSE)</f>
        <v>0</v>
      </c>
      <c r="H70" s="2"/>
      <c r="I70" s="2"/>
      <c r="J70">
        <f>I70 * VLOOKUP("proklim", inject!A:B, 2, FALSE)</f>
        <v>0</v>
      </c>
      <c r="K70" s="2"/>
      <c r="L70" s="2"/>
      <c r="M70">
        <f>L70 * VLOOKUP("proper", inject!A:B, 2, FALSE)</f>
        <v>0</v>
      </c>
      <c r="N70" s="2"/>
      <c r="O70" s="2"/>
      <c r="P70">
        <f>O70 * VLOOKUP("kaltaparu", inject!A:B, 2, FALSE)</f>
        <v>0</v>
      </c>
      <c r="Q70" s="2"/>
    </row>
    <row r="71" spans="1:17">
      <c r="A71">
        <v>70</v>
      </c>
      <c r="B71" t="s">
        <v>82</v>
      </c>
      <c r="C71" s="2"/>
      <c r="D71">
        <f>C71 * VLOOKUP("adipura", inject!A:B, 2, FALSE)</f>
        <v>0</v>
      </c>
      <c r="E71" s="2"/>
      <c r="F71" s="2"/>
      <c r="G71">
        <f>F71 * VLOOKUP("adiwiyata", inject!A:B, 2, FALSE)</f>
        <v>0</v>
      </c>
      <c r="H71" s="2"/>
      <c r="I71" s="2"/>
      <c r="J71">
        <f>I71 * VLOOKUP("proklim", inject!A:B, 2, FALSE)</f>
        <v>0</v>
      </c>
      <c r="K71" s="2"/>
      <c r="L71" s="2"/>
      <c r="M71">
        <f>L71 * VLOOKUP("proper", inject!A:B, 2, FALSE)</f>
        <v>0</v>
      </c>
      <c r="N71" s="2"/>
      <c r="O71" s="2"/>
      <c r="P71">
        <f>O71 * VLOOKUP("kaltaparu", inject!A:B, 2, FALSE)</f>
        <v>0</v>
      </c>
      <c r="Q71" s="2"/>
    </row>
    <row r="72" spans="1:17">
      <c r="A72">
        <v>71</v>
      </c>
      <c r="B72" t="s">
        <v>83</v>
      </c>
      <c r="C72" s="2"/>
      <c r="D72">
        <f>C72 * VLOOKUP("adipura", inject!A:B, 2, FALSE)</f>
        <v>0</v>
      </c>
      <c r="E72" s="2"/>
      <c r="F72" s="2"/>
      <c r="G72">
        <f>F72 * VLOOKUP("adiwiyata", inject!A:B, 2, FALSE)</f>
        <v>0</v>
      </c>
      <c r="H72" s="2"/>
      <c r="I72" s="2"/>
      <c r="J72">
        <f>I72 * VLOOKUP("proklim", inject!A:B, 2, FALSE)</f>
        <v>0</v>
      </c>
      <c r="K72" s="2"/>
      <c r="L72" s="2"/>
      <c r="M72">
        <f>L72 * VLOOKUP("proper", inject!A:B, 2, FALSE)</f>
        <v>0</v>
      </c>
      <c r="N72" s="2"/>
      <c r="O72" s="2"/>
      <c r="P72">
        <f>O72 * VLOOKUP("kaltaparu", inject!A:B, 2, FALSE)</f>
        <v>0</v>
      </c>
      <c r="Q72" s="2"/>
    </row>
    <row r="73" spans="1:17">
      <c r="A73">
        <v>72</v>
      </c>
      <c r="B73" t="s">
        <v>84</v>
      </c>
      <c r="C73" s="2"/>
      <c r="D73">
        <f>C73 * VLOOKUP("adipura", inject!A:B, 2, FALSE)</f>
        <v>0</v>
      </c>
      <c r="E73" s="2"/>
      <c r="F73" s="2"/>
      <c r="G73">
        <f>F73 * VLOOKUP("adiwiyata", inject!A:B, 2, FALSE)</f>
        <v>0</v>
      </c>
      <c r="H73" s="2"/>
      <c r="I73" s="2"/>
      <c r="J73">
        <f>I73 * VLOOKUP("proklim", inject!A:B, 2, FALSE)</f>
        <v>0</v>
      </c>
      <c r="K73" s="2"/>
      <c r="L73" s="2"/>
      <c r="M73">
        <f>L73 * VLOOKUP("proper", inject!A:B, 2, FALSE)</f>
        <v>0</v>
      </c>
      <c r="N73" s="2"/>
      <c r="O73" s="2"/>
      <c r="P73">
        <f>O73 * VLOOKUP("kaltaparu", inject!A:B, 2, FALSE)</f>
        <v>0</v>
      </c>
      <c r="Q73" s="2"/>
    </row>
    <row r="74" spans="1:17">
      <c r="A74">
        <v>73</v>
      </c>
      <c r="B74" t="s">
        <v>85</v>
      </c>
      <c r="C74" s="2"/>
      <c r="D74">
        <f>C74 * VLOOKUP("adipura", inject!A:B, 2, FALSE)</f>
        <v>0</v>
      </c>
      <c r="E74" s="2"/>
      <c r="F74" s="2"/>
      <c r="G74">
        <f>F74 * VLOOKUP("adiwiyata", inject!A:B, 2, FALSE)</f>
        <v>0</v>
      </c>
      <c r="H74" s="2"/>
      <c r="I74" s="2"/>
      <c r="J74">
        <f>I74 * VLOOKUP("proklim", inject!A:B, 2, FALSE)</f>
        <v>0</v>
      </c>
      <c r="K74" s="2"/>
      <c r="L74" s="2"/>
      <c r="M74">
        <f>L74 * VLOOKUP("proper", inject!A:B, 2, FALSE)</f>
        <v>0</v>
      </c>
      <c r="N74" s="2"/>
      <c r="O74" s="2"/>
      <c r="P74">
        <f>O74 * VLOOKUP("kaltaparu", inject!A:B, 2, FALSE)</f>
        <v>0</v>
      </c>
      <c r="Q74" s="2"/>
    </row>
    <row r="75" spans="1:17">
      <c r="A75">
        <v>74</v>
      </c>
      <c r="B75" t="s">
        <v>86</v>
      </c>
      <c r="C75" s="2"/>
      <c r="D75">
        <f>C75 * VLOOKUP("adipura", inject!A:B, 2, FALSE)</f>
        <v>0</v>
      </c>
      <c r="E75" s="2"/>
      <c r="F75" s="2"/>
      <c r="G75">
        <f>F75 * VLOOKUP("adiwiyata", inject!A:B, 2, FALSE)</f>
        <v>0</v>
      </c>
      <c r="H75" s="2"/>
      <c r="I75" s="2"/>
      <c r="J75">
        <f>I75 * VLOOKUP("proklim", inject!A:B, 2, FALSE)</f>
        <v>0</v>
      </c>
      <c r="K75" s="2"/>
      <c r="L75" s="2"/>
      <c r="M75">
        <f>L75 * VLOOKUP("proper", inject!A:B, 2, FALSE)</f>
        <v>0</v>
      </c>
      <c r="N75" s="2"/>
      <c r="O75" s="2"/>
      <c r="P75">
        <f>O75 * VLOOKUP("kaltaparu", inject!A:B, 2, FALSE)</f>
        <v>0</v>
      </c>
      <c r="Q75" s="2"/>
    </row>
    <row r="76" spans="1:17">
      <c r="A76">
        <v>75</v>
      </c>
      <c r="B76" t="s">
        <v>87</v>
      </c>
      <c r="C76" s="2"/>
      <c r="D76">
        <f>C76 * VLOOKUP("adipura", inject!A:B, 2, FALSE)</f>
        <v>0</v>
      </c>
      <c r="E76" s="2"/>
      <c r="F76" s="2"/>
      <c r="G76">
        <f>F76 * VLOOKUP("adiwiyata", inject!A:B, 2, FALSE)</f>
        <v>0</v>
      </c>
      <c r="H76" s="2"/>
      <c r="I76" s="2"/>
      <c r="J76">
        <f>I76 * VLOOKUP("proklim", inject!A:B, 2, FALSE)</f>
        <v>0</v>
      </c>
      <c r="K76" s="2"/>
      <c r="L76" s="2"/>
      <c r="M76">
        <f>L76 * VLOOKUP("proper", inject!A:B, 2, FALSE)</f>
        <v>0</v>
      </c>
      <c r="N76" s="2"/>
      <c r="O76" s="2"/>
      <c r="P76">
        <f>O76 * VLOOKUP("kaltaparu", inject!A:B, 2, FALSE)</f>
        <v>0</v>
      </c>
      <c r="Q76" s="2"/>
    </row>
    <row r="77" spans="1:17">
      <c r="A77">
        <v>76</v>
      </c>
      <c r="B77" t="s">
        <v>88</v>
      </c>
      <c r="C77" s="2"/>
      <c r="D77">
        <f>C77 * VLOOKUP("adipura", inject!A:B, 2, FALSE)</f>
        <v>0</v>
      </c>
      <c r="E77" s="2"/>
      <c r="F77" s="2"/>
      <c r="G77">
        <f>F77 * VLOOKUP("adiwiyata", inject!A:B, 2, FALSE)</f>
        <v>0</v>
      </c>
      <c r="H77" s="2"/>
      <c r="I77" s="2"/>
      <c r="J77">
        <f>I77 * VLOOKUP("proklim", inject!A:B, 2, FALSE)</f>
        <v>0</v>
      </c>
      <c r="K77" s="2"/>
      <c r="L77" s="2"/>
      <c r="M77">
        <f>L77 * VLOOKUP("proper", inject!A:B, 2, FALSE)</f>
        <v>0</v>
      </c>
      <c r="N77" s="2"/>
      <c r="O77" s="2"/>
      <c r="P77">
        <f>O77 * VLOOKUP("kaltaparu", inject!A:B, 2, FALSE)</f>
        <v>0</v>
      </c>
      <c r="Q77" s="2"/>
    </row>
    <row r="78" spans="1:17">
      <c r="A78">
        <v>77</v>
      </c>
      <c r="B78" t="s">
        <v>89</v>
      </c>
      <c r="C78" s="2"/>
      <c r="D78">
        <f>C78 * VLOOKUP("adipura", inject!A:B, 2, FALSE)</f>
        <v>0</v>
      </c>
      <c r="E78" s="2"/>
      <c r="F78" s="2"/>
      <c r="G78">
        <f>F78 * VLOOKUP("adiwiyata", inject!A:B, 2, FALSE)</f>
        <v>0</v>
      </c>
      <c r="H78" s="2"/>
      <c r="I78" s="2"/>
      <c r="J78">
        <f>I78 * VLOOKUP("proklim", inject!A:B, 2, FALSE)</f>
        <v>0</v>
      </c>
      <c r="K78" s="2"/>
      <c r="L78" s="2"/>
      <c r="M78">
        <f>L78 * VLOOKUP("proper", inject!A:B, 2, FALSE)</f>
        <v>0</v>
      </c>
      <c r="N78" s="2"/>
      <c r="O78" s="2"/>
      <c r="P78">
        <f>O78 * VLOOKUP("kaltaparu", inject!A:B, 2, FALSE)</f>
        <v>0</v>
      </c>
      <c r="Q78" s="2"/>
    </row>
    <row r="79" spans="1:17">
      <c r="A79">
        <v>78</v>
      </c>
      <c r="B79" t="s">
        <v>90</v>
      </c>
      <c r="C79" s="2"/>
      <c r="D79">
        <f>C79 * VLOOKUP("adipura", inject!A:B, 2, FALSE)</f>
        <v>0</v>
      </c>
      <c r="E79" s="2"/>
      <c r="F79" s="2"/>
      <c r="G79">
        <f>F79 * VLOOKUP("adiwiyata", inject!A:B, 2, FALSE)</f>
        <v>0</v>
      </c>
      <c r="H79" s="2"/>
      <c r="I79" s="2"/>
      <c r="J79">
        <f>I79 * VLOOKUP("proklim", inject!A:B, 2, FALSE)</f>
        <v>0</v>
      </c>
      <c r="K79" s="2"/>
      <c r="L79" s="2"/>
      <c r="M79">
        <f>L79 * VLOOKUP("proper", inject!A:B, 2, FALSE)</f>
        <v>0</v>
      </c>
      <c r="N79" s="2"/>
      <c r="O79" s="2"/>
      <c r="P79">
        <f>O79 * VLOOKUP("kaltaparu", inject!A:B, 2, FALSE)</f>
        <v>0</v>
      </c>
      <c r="Q79" s="2"/>
    </row>
    <row r="80" spans="1:17">
      <c r="A80">
        <v>79</v>
      </c>
      <c r="B80" t="s">
        <v>91</v>
      </c>
      <c r="C80" s="2"/>
      <c r="D80">
        <f>C80 * VLOOKUP("adipura", inject!A:B, 2, FALSE)</f>
        <v>0</v>
      </c>
      <c r="E80" s="2"/>
      <c r="F80" s="2"/>
      <c r="G80">
        <f>F80 * VLOOKUP("adiwiyata", inject!A:B, 2, FALSE)</f>
        <v>0</v>
      </c>
      <c r="H80" s="2"/>
      <c r="I80" s="2"/>
      <c r="J80">
        <f>I80 * VLOOKUP("proklim", inject!A:B, 2, FALSE)</f>
        <v>0</v>
      </c>
      <c r="K80" s="2"/>
      <c r="L80" s="2"/>
      <c r="M80">
        <f>L80 * VLOOKUP("proper", inject!A:B, 2, FALSE)</f>
        <v>0</v>
      </c>
      <c r="N80" s="2"/>
      <c r="O80" s="2"/>
      <c r="P80">
        <f>O80 * VLOOKUP("kaltaparu", inject!A:B, 2, FALSE)</f>
        <v>0</v>
      </c>
      <c r="Q80" s="2"/>
    </row>
    <row r="81" spans="1:17">
      <c r="A81">
        <v>80</v>
      </c>
      <c r="B81" t="s">
        <v>92</v>
      </c>
      <c r="C81" s="2"/>
      <c r="D81">
        <f>C81 * VLOOKUP("adipura", inject!A:B, 2, FALSE)</f>
        <v>0</v>
      </c>
      <c r="E81" s="2"/>
      <c r="F81" s="2"/>
      <c r="G81">
        <f>F81 * VLOOKUP("adiwiyata", inject!A:B, 2, FALSE)</f>
        <v>0</v>
      </c>
      <c r="H81" s="2"/>
      <c r="I81" s="2"/>
      <c r="J81">
        <f>I81 * VLOOKUP("proklim", inject!A:B, 2, FALSE)</f>
        <v>0</v>
      </c>
      <c r="K81" s="2"/>
      <c r="L81" s="2"/>
      <c r="M81">
        <f>L81 * VLOOKUP("proper", inject!A:B, 2, FALSE)</f>
        <v>0</v>
      </c>
      <c r="N81" s="2"/>
      <c r="O81" s="2"/>
      <c r="P81">
        <f>O81 * VLOOKUP("kaltaparu", inject!A:B, 2, FALSE)</f>
        <v>0</v>
      </c>
      <c r="Q81" s="2"/>
    </row>
    <row r="82" spans="1:17">
      <c r="A82">
        <v>81</v>
      </c>
      <c r="B82" t="s">
        <v>93</v>
      </c>
      <c r="C82" s="2"/>
      <c r="D82">
        <f>C82 * VLOOKUP("adipura", inject!A:B, 2, FALSE)</f>
        <v>0</v>
      </c>
      <c r="E82" s="2"/>
      <c r="F82" s="2"/>
      <c r="G82">
        <f>F82 * VLOOKUP("adiwiyata", inject!A:B, 2, FALSE)</f>
        <v>0</v>
      </c>
      <c r="H82" s="2"/>
      <c r="I82" s="2"/>
      <c r="J82">
        <f>I82 * VLOOKUP("proklim", inject!A:B, 2, FALSE)</f>
        <v>0</v>
      </c>
      <c r="K82" s="2"/>
      <c r="L82" s="2"/>
      <c r="M82">
        <f>L82 * VLOOKUP("proper", inject!A:B, 2, FALSE)</f>
        <v>0</v>
      </c>
      <c r="N82" s="2"/>
      <c r="O82" s="2"/>
      <c r="P82">
        <f>O82 * VLOOKUP("kaltaparu", inject!A:B, 2, FALSE)</f>
        <v>0</v>
      </c>
      <c r="Q82" s="2"/>
    </row>
    <row r="83" spans="1:17">
      <c r="A83">
        <v>82</v>
      </c>
      <c r="B83" t="s">
        <v>94</v>
      </c>
      <c r="C83" s="2"/>
      <c r="D83">
        <f>C83 * VLOOKUP("adipura", inject!A:B, 2, FALSE)</f>
        <v>0</v>
      </c>
      <c r="E83" s="2"/>
      <c r="F83" s="2"/>
      <c r="G83">
        <f>F83 * VLOOKUP("adiwiyata", inject!A:B, 2, FALSE)</f>
        <v>0</v>
      </c>
      <c r="H83" s="2"/>
      <c r="I83" s="2"/>
      <c r="J83">
        <f>I83 * VLOOKUP("proklim", inject!A:B, 2, FALSE)</f>
        <v>0</v>
      </c>
      <c r="K83" s="2"/>
      <c r="L83" s="2"/>
      <c r="M83">
        <f>L83 * VLOOKUP("proper", inject!A:B, 2, FALSE)</f>
        <v>0</v>
      </c>
      <c r="N83" s="2"/>
      <c r="O83" s="2"/>
      <c r="P83">
        <f>O83 * VLOOKUP("kaltaparu", inject!A:B, 2, FALSE)</f>
        <v>0</v>
      </c>
      <c r="Q83" s="2"/>
    </row>
    <row r="84" spans="1:17">
      <c r="A84">
        <v>83</v>
      </c>
      <c r="B84" t="s">
        <v>95</v>
      </c>
      <c r="C84" s="2"/>
      <c r="D84">
        <f>C84 * VLOOKUP("adipura", inject!A:B, 2, FALSE)</f>
        <v>0</v>
      </c>
      <c r="E84" s="2"/>
      <c r="F84" s="2"/>
      <c r="G84">
        <f>F84 * VLOOKUP("adiwiyata", inject!A:B, 2, FALSE)</f>
        <v>0</v>
      </c>
      <c r="H84" s="2"/>
      <c r="I84" s="2"/>
      <c r="J84">
        <f>I84 * VLOOKUP("proklim", inject!A:B, 2, FALSE)</f>
        <v>0</v>
      </c>
      <c r="K84" s="2"/>
      <c r="L84" s="2"/>
      <c r="M84">
        <f>L84 * VLOOKUP("proper", inject!A:B, 2, FALSE)</f>
        <v>0</v>
      </c>
      <c r="N84" s="2"/>
      <c r="O84" s="2"/>
      <c r="P84">
        <f>O84 * VLOOKUP("kaltaparu", inject!A:B, 2, FALSE)</f>
        <v>0</v>
      </c>
      <c r="Q84" s="2"/>
    </row>
    <row r="85" spans="1:17">
      <c r="A85">
        <v>84</v>
      </c>
      <c r="B85" t="s">
        <v>96</v>
      </c>
      <c r="C85" s="2"/>
      <c r="D85">
        <f>C85 * VLOOKUP("adipura", inject!A:B, 2, FALSE)</f>
        <v>0</v>
      </c>
      <c r="E85" s="2"/>
      <c r="F85" s="2"/>
      <c r="G85">
        <f>F85 * VLOOKUP("adiwiyata", inject!A:B, 2, FALSE)</f>
        <v>0</v>
      </c>
      <c r="H85" s="2"/>
      <c r="I85" s="2"/>
      <c r="J85">
        <f>I85 * VLOOKUP("proklim", inject!A:B, 2, FALSE)</f>
        <v>0</v>
      </c>
      <c r="K85" s="2"/>
      <c r="L85" s="2"/>
      <c r="M85">
        <f>L85 * VLOOKUP("proper", inject!A:B, 2, FALSE)</f>
        <v>0</v>
      </c>
      <c r="N85" s="2"/>
      <c r="O85" s="2"/>
      <c r="P85">
        <f>O85 * VLOOKUP("kaltaparu", inject!A:B, 2, FALSE)</f>
        <v>0</v>
      </c>
      <c r="Q85" s="2"/>
    </row>
    <row r="86" spans="1:17">
      <c r="A86">
        <v>85</v>
      </c>
      <c r="B86" t="s">
        <v>97</v>
      </c>
      <c r="C86" s="2"/>
      <c r="D86">
        <f>C86 * VLOOKUP("adipura", inject!A:B, 2, FALSE)</f>
        <v>0</v>
      </c>
      <c r="E86" s="2"/>
      <c r="F86" s="2"/>
      <c r="G86">
        <f>F86 * VLOOKUP("adiwiyata", inject!A:B, 2, FALSE)</f>
        <v>0</v>
      </c>
      <c r="H86" s="2"/>
      <c r="I86" s="2"/>
      <c r="J86">
        <f>I86 * VLOOKUP("proklim", inject!A:B, 2, FALSE)</f>
        <v>0</v>
      </c>
      <c r="K86" s="2"/>
      <c r="L86" s="2"/>
      <c r="M86">
        <f>L86 * VLOOKUP("proper", inject!A:B, 2, FALSE)</f>
        <v>0</v>
      </c>
      <c r="N86" s="2"/>
      <c r="O86" s="2"/>
      <c r="P86">
        <f>O86 * VLOOKUP("kaltaparu", inject!A:B, 2, FALSE)</f>
        <v>0</v>
      </c>
      <c r="Q86" s="2"/>
    </row>
    <row r="87" spans="1:17">
      <c r="A87">
        <v>86</v>
      </c>
      <c r="B87" t="s">
        <v>98</v>
      </c>
      <c r="C87" s="2"/>
      <c r="D87">
        <f>C87 * VLOOKUP("adipura", inject!A:B, 2, FALSE)</f>
        <v>0</v>
      </c>
      <c r="E87" s="2"/>
      <c r="F87" s="2"/>
      <c r="G87">
        <f>F87 * VLOOKUP("adiwiyata", inject!A:B, 2, FALSE)</f>
        <v>0</v>
      </c>
      <c r="H87" s="2"/>
      <c r="I87" s="2"/>
      <c r="J87">
        <f>I87 * VLOOKUP("proklim", inject!A:B, 2, FALSE)</f>
        <v>0</v>
      </c>
      <c r="K87" s="2"/>
      <c r="L87" s="2"/>
      <c r="M87">
        <f>L87 * VLOOKUP("proper", inject!A:B, 2, FALSE)</f>
        <v>0</v>
      </c>
      <c r="N87" s="2"/>
      <c r="O87" s="2"/>
      <c r="P87">
        <f>O87 * VLOOKUP("kaltaparu", inject!A:B, 2, FALSE)</f>
        <v>0</v>
      </c>
      <c r="Q87" s="2"/>
    </row>
    <row r="88" spans="1:17">
      <c r="A88">
        <v>87</v>
      </c>
      <c r="B88" t="s">
        <v>99</v>
      </c>
      <c r="C88" s="2"/>
      <c r="D88">
        <f>C88 * VLOOKUP("adipura", inject!A:B, 2, FALSE)</f>
        <v>0</v>
      </c>
      <c r="E88" s="2"/>
      <c r="F88" s="2"/>
      <c r="G88">
        <f>F88 * VLOOKUP("adiwiyata", inject!A:B, 2, FALSE)</f>
        <v>0</v>
      </c>
      <c r="H88" s="2"/>
      <c r="I88" s="2"/>
      <c r="J88">
        <f>I88 * VLOOKUP("proklim", inject!A:B, 2, FALSE)</f>
        <v>0</v>
      </c>
      <c r="K88" s="2"/>
      <c r="L88" s="2"/>
      <c r="M88">
        <f>L88 * VLOOKUP("proper", inject!A:B, 2, FALSE)</f>
        <v>0</v>
      </c>
      <c r="N88" s="2"/>
      <c r="O88" s="2"/>
      <c r="P88">
        <f>O88 * VLOOKUP("kaltaparu", inject!A:B, 2, FALSE)</f>
        <v>0</v>
      </c>
      <c r="Q88" s="2"/>
    </row>
    <row r="89" spans="1:17">
      <c r="A89">
        <v>88</v>
      </c>
      <c r="B89" t="s">
        <v>100</v>
      </c>
      <c r="C89" s="2"/>
      <c r="D89">
        <f>C89 * VLOOKUP("adipura", inject!A:B, 2, FALSE)</f>
        <v>0</v>
      </c>
      <c r="E89" s="2"/>
      <c r="F89" s="2"/>
      <c r="G89">
        <f>F89 * VLOOKUP("adiwiyata", inject!A:B, 2, FALSE)</f>
        <v>0</v>
      </c>
      <c r="H89" s="2"/>
      <c r="I89" s="2"/>
      <c r="J89">
        <f>I89 * VLOOKUP("proklim", inject!A:B, 2, FALSE)</f>
        <v>0</v>
      </c>
      <c r="K89" s="2"/>
      <c r="L89" s="2"/>
      <c r="M89">
        <f>L89 * VLOOKUP("proper", inject!A:B, 2, FALSE)</f>
        <v>0</v>
      </c>
      <c r="N89" s="2"/>
      <c r="O89" s="2"/>
      <c r="P89">
        <f>O89 * VLOOKUP("kaltaparu", inject!A:B, 2, FALSE)</f>
        <v>0</v>
      </c>
      <c r="Q89" s="2"/>
    </row>
    <row r="90" spans="1:17">
      <c r="A90">
        <v>89</v>
      </c>
      <c r="B90" t="s">
        <v>101</v>
      </c>
      <c r="C90" s="2"/>
      <c r="D90">
        <f>C90 * VLOOKUP("adipura", inject!A:B, 2, FALSE)</f>
        <v>0</v>
      </c>
      <c r="E90" s="2"/>
      <c r="F90" s="2"/>
      <c r="G90">
        <f>F90 * VLOOKUP("adiwiyata", inject!A:B, 2, FALSE)</f>
        <v>0</v>
      </c>
      <c r="H90" s="2"/>
      <c r="I90" s="2"/>
      <c r="J90">
        <f>I90 * VLOOKUP("proklim", inject!A:B, 2, FALSE)</f>
        <v>0</v>
      </c>
      <c r="K90" s="2"/>
      <c r="L90" s="2"/>
      <c r="M90">
        <f>L90 * VLOOKUP("proper", inject!A:B, 2, FALSE)</f>
        <v>0</v>
      </c>
      <c r="N90" s="2"/>
      <c r="O90" s="2"/>
      <c r="P90">
        <f>O90 * VLOOKUP("kaltaparu", inject!A:B, 2, FALSE)</f>
        <v>0</v>
      </c>
      <c r="Q90" s="2"/>
    </row>
    <row r="91" spans="1:17">
      <c r="A91">
        <v>90</v>
      </c>
      <c r="B91" t="s">
        <v>102</v>
      </c>
      <c r="C91" s="2"/>
      <c r="D91">
        <f>C91 * VLOOKUP("adipura", inject!A:B, 2, FALSE)</f>
        <v>0</v>
      </c>
      <c r="E91" s="2"/>
      <c r="F91" s="2"/>
      <c r="G91">
        <f>F91 * VLOOKUP("adiwiyata", inject!A:B, 2, FALSE)</f>
        <v>0</v>
      </c>
      <c r="H91" s="2"/>
      <c r="I91" s="2"/>
      <c r="J91">
        <f>I91 * VLOOKUP("proklim", inject!A:B, 2, FALSE)</f>
        <v>0</v>
      </c>
      <c r="K91" s="2"/>
      <c r="L91" s="2"/>
      <c r="M91">
        <f>L91 * VLOOKUP("proper", inject!A:B, 2, FALSE)</f>
        <v>0</v>
      </c>
      <c r="N91" s="2"/>
      <c r="O91" s="2"/>
      <c r="P91">
        <f>O91 * VLOOKUP("kaltaparu", inject!A:B, 2, FALSE)</f>
        <v>0</v>
      </c>
      <c r="Q91" s="2"/>
    </row>
    <row r="92" spans="1:17">
      <c r="A92">
        <v>91</v>
      </c>
      <c r="B92" t="s">
        <v>103</v>
      </c>
      <c r="C92" s="2"/>
      <c r="D92">
        <f>C92 * VLOOKUP("adipura", inject!A:B, 2, FALSE)</f>
        <v>0</v>
      </c>
      <c r="E92" s="2"/>
      <c r="F92" s="2"/>
      <c r="G92">
        <f>F92 * VLOOKUP("adiwiyata", inject!A:B, 2, FALSE)</f>
        <v>0</v>
      </c>
      <c r="H92" s="2"/>
      <c r="I92" s="2"/>
      <c r="J92">
        <f>I92 * VLOOKUP("proklim", inject!A:B, 2, FALSE)</f>
        <v>0</v>
      </c>
      <c r="K92" s="2"/>
      <c r="L92" s="2"/>
      <c r="M92">
        <f>L92 * VLOOKUP("proper", inject!A:B, 2, FALSE)</f>
        <v>0</v>
      </c>
      <c r="N92" s="2"/>
      <c r="O92" s="2"/>
      <c r="P92">
        <f>O92 * VLOOKUP("kaltaparu", inject!A:B, 2, FALSE)</f>
        <v>0</v>
      </c>
      <c r="Q92" s="2"/>
    </row>
    <row r="93" spans="1:17">
      <c r="A93">
        <v>92</v>
      </c>
      <c r="B93" t="s">
        <v>104</v>
      </c>
      <c r="C93" s="2"/>
      <c r="D93">
        <f>C93 * VLOOKUP("adipura", inject!A:B, 2, FALSE)</f>
        <v>0</v>
      </c>
      <c r="E93" s="2"/>
      <c r="F93" s="2"/>
      <c r="G93">
        <f>F93 * VLOOKUP("adiwiyata", inject!A:B, 2, FALSE)</f>
        <v>0</v>
      </c>
      <c r="H93" s="2"/>
      <c r="I93" s="2"/>
      <c r="J93">
        <f>I93 * VLOOKUP("proklim", inject!A:B, 2, FALSE)</f>
        <v>0</v>
      </c>
      <c r="K93" s="2"/>
      <c r="L93" s="2"/>
      <c r="M93">
        <f>L93 * VLOOKUP("proper", inject!A:B, 2, FALSE)</f>
        <v>0</v>
      </c>
      <c r="N93" s="2"/>
      <c r="O93" s="2"/>
      <c r="P93">
        <f>O93 * VLOOKUP("kaltaparu", inject!A:B, 2, FALSE)</f>
        <v>0</v>
      </c>
      <c r="Q93" s="2"/>
    </row>
    <row r="94" spans="1:17">
      <c r="A94">
        <v>93</v>
      </c>
      <c r="B94" t="s">
        <v>105</v>
      </c>
      <c r="C94" s="2"/>
      <c r="D94">
        <f>C94 * VLOOKUP("adipura", inject!A:B, 2, FALSE)</f>
        <v>0</v>
      </c>
      <c r="E94" s="2"/>
      <c r="F94" s="2"/>
      <c r="G94">
        <f>F94 * VLOOKUP("adiwiyata", inject!A:B, 2, FALSE)</f>
        <v>0</v>
      </c>
      <c r="H94" s="2"/>
      <c r="I94" s="2"/>
      <c r="J94">
        <f>I94 * VLOOKUP("proklim", inject!A:B, 2, FALSE)</f>
        <v>0</v>
      </c>
      <c r="K94" s="2"/>
      <c r="L94" s="2"/>
      <c r="M94">
        <f>L94 * VLOOKUP("proper", inject!A:B, 2, FALSE)</f>
        <v>0</v>
      </c>
      <c r="N94" s="2"/>
      <c r="O94" s="2"/>
      <c r="P94">
        <f>O94 * VLOOKUP("kaltaparu", inject!A:B, 2, FALSE)</f>
        <v>0</v>
      </c>
      <c r="Q94" s="2"/>
    </row>
    <row r="95" spans="1:17">
      <c r="A95">
        <v>94</v>
      </c>
      <c r="B95" t="s">
        <v>106</v>
      </c>
      <c r="C95" s="2"/>
      <c r="D95">
        <f>C95 * VLOOKUP("adipura", inject!A:B, 2, FALSE)</f>
        <v>0</v>
      </c>
      <c r="E95" s="2"/>
      <c r="F95" s="2"/>
      <c r="G95">
        <f>F95 * VLOOKUP("adiwiyata", inject!A:B, 2, FALSE)</f>
        <v>0</v>
      </c>
      <c r="H95" s="2"/>
      <c r="I95" s="2"/>
      <c r="J95">
        <f>I95 * VLOOKUP("proklim", inject!A:B, 2, FALSE)</f>
        <v>0</v>
      </c>
      <c r="K95" s="2"/>
      <c r="L95" s="2"/>
      <c r="M95">
        <f>L95 * VLOOKUP("proper", inject!A:B, 2, FALSE)</f>
        <v>0</v>
      </c>
      <c r="N95" s="2"/>
      <c r="O95" s="2"/>
      <c r="P95">
        <f>O95 * VLOOKUP("kaltaparu", inject!A:B, 2, FALSE)</f>
        <v>0</v>
      </c>
      <c r="Q95" s="2"/>
    </row>
    <row r="96" spans="1:17">
      <c r="A96">
        <v>95</v>
      </c>
      <c r="B96" t="s">
        <v>107</v>
      </c>
      <c r="C96" s="2"/>
      <c r="D96">
        <f>C96 * VLOOKUP("adipura", inject!A:B, 2, FALSE)</f>
        <v>0</v>
      </c>
      <c r="E96" s="2"/>
      <c r="F96" s="2"/>
      <c r="G96">
        <f>F96 * VLOOKUP("adiwiyata", inject!A:B, 2, FALSE)</f>
        <v>0</v>
      </c>
      <c r="H96" s="2"/>
      <c r="I96" s="2"/>
      <c r="J96">
        <f>I96 * VLOOKUP("proklim", inject!A:B, 2, FALSE)</f>
        <v>0</v>
      </c>
      <c r="K96" s="2"/>
      <c r="L96" s="2"/>
      <c r="M96">
        <f>L96 * VLOOKUP("proper", inject!A:B, 2, FALSE)</f>
        <v>0</v>
      </c>
      <c r="N96" s="2"/>
      <c r="O96" s="2"/>
      <c r="P96">
        <f>O96 * VLOOKUP("kaltaparu", inject!A:B, 2, FALSE)</f>
        <v>0</v>
      </c>
      <c r="Q96" s="2"/>
    </row>
    <row r="97" spans="1:17">
      <c r="A97">
        <v>96</v>
      </c>
      <c r="B97" t="s">
        <v>108</v>
      </c>
      <c r="C97" s="2"/>
      <c r="D97">
        <f>C97 * VLOOKUP("adipura", inject!A:B, 2, FALSE)</f>
        <v>0</v>
      </c>
      <c r="E97" s="2"/>
      <c r="F97" s="2"/>
      <c r="G97">
        <f>F97 * VLOOKUP("adiwiyata", inject!A:B, 2, FALSE)</f>
        <v>0</v>
      </c>
      <c r="H97" s="2"/>
      <c r="I97" s="2"/>
      <c r="J97">
        <f>I97 * VLOOKUP("proklim", inject!A:B, 2, FALSE)</f>
        <v>0</v>
      </c>
      <c r="K97" s="2"/>
      <c r="L97" s="2"/>
      <c r="M97">
        <f>L97 * VLOOKUP("proper", inject!A:B, 2, FALSE)</f>
        <v>0</v>
      </c>
      <c r="N97" s="2"/>
      <c r="O97" s="2"/>
      <c r="P97">
        <f>O97 * VLOOKUP("kaltaparu", inject!A:B, 2, FALSE)</f>
        <v>0</v>
      </c>
      <c r="Q97" s="2"/>
    </row>
    <row r="98" spans="1:17">
      <c r="A98">
        <v>97</v>
      </c>
      <c r="B98" t="s">
        <v>109</v>
      </c>
      <c r="C98" s="2"/>
      <c r="D98">
        <f>C98 * VLOOKUP("adipura", inject!A:B, 2, FALSE)</f>
        <v>0</v>
      </c>
      <c r="E98" s="2"/>
      <c r="F98" s="2"/>
      <c r="G98">
        <f>F98 * VLOOKUP("adiwiyata", inject!A:B, 2, FALSE)</f>
        <v>0</v>
      </c>
      <c r="H98" s="2"/>
      <c r="I98" s="2"/>
      <c r="J98">
        <f>I98 * VLOOKUP("proklim", inject!A:B, 2, FALSE)</f>
        <v>0</v>
      </c>
      <c r="K98" s="2"/>
      <c r="L98" s="2"/>
      <c r="M98">
        <f>L98 * VLOOKUP("proper", inject!A:B, 2, FALSE)</f>
        <v>0</v>
      </c>
      <c r="N98" s="2"/>
      <c r="O98" s="2"/>
      <c r="P98">
        <f>O98 * VLOOKUP("kaltaparu", inject!A:B, 2, FALSE)</f>
        <v>0</v>
      </c>
      <c r="Q98" s="2"/>
    </row>
    <row r="99" spans="1:17">
      <c r="A99">
        <v>98</v>
      </c>
      <c r="B99" t="s">
        <v>110</v>
      </c>
      <c r="C99" s="2"/>
      <c r="D99">
        <f>C99 * VLOOKUP("adipura", inject!A:B, 2, FALSE)</f>
        <v>0</v>
      </c>
      <c r="E99" s="2"/>
      <c r="F99" s="2"/>
      <c r="G99">
        <f>F99 * VLOOKUP("adiwiyata", inject!A:B, 2, FALSE)</f>
        <v>0</v>
      </c>
      <c r="H99" s="2"/>
      <c r="I99" s="2"/>
      <c r="J99">
        <f>I99 * VLOOKUP("proklim", inject!A:B, 2, FALSE)</f>
        <v>0</v>
      </c>
      <c r="K99" s="2"/>
      <c r="L99" s="2"/>
      <c r="M99">
        <f>L99 * VLOOKUP("proper", inject!A:B, 2, FALSE)</f>
        <v>0</v>
      </c>
      <c r="N99" s="2"/>
      <c r="O99" s="2"/>
      <c r="P99">
        <f>O99 * VLOOKUP("kaltaparu", inject!A:B, 2, FALSE)</f>
        <v>0</v>
      </c>
      <c r="Q99" s="2"/>
    </row>
    <row r="100" spans="1:17">
      <c r="A100">
        <v>99</v>
      </c>
      <c r="B100" t="s">
        <v>111</v>
      </c>
      <c r="C100" s="2"/>
      <c r="D100">
        <f>C100 * VLOOKUP("adipura", inject!A:B, 2, FALSE)</f>
        <v>0</v>
      </c>
      <c r="E100" s="2"/>
      <c r="F100" s="2"/>
      <c r="G100">
        <f>F100 * VLOOKUP("adiwiyata", inject!A:B, 2, FALSE)</f>
        <v>0</v>
      </c>
      <c r="H100" s="2"/>
      <c r="I100" s="2"/>
      <c r="J100">
        <f>I100 * VLOOKUP("proklim", inject!A:B, 2, FALSE)</f>
        <v>0</v>
      </c>
      <c r="K100" s="2"/>
      <c r="L100" s="2"/>
      <c r="M100">
        <f>L100 * VLOOKUP("proper", inject!A:B, 2, FALSE)</f>
        <v>0</v>
      </c>
      <c r="N100" s="2"/>
      <c r="O100" s="2"/>
      <c r="P100">
        <f>O100 * VLOOKUP("kaltaparu", inject!A:B, 2, FALSE)</f>
        <v>0</v>
      </c>
      <c r="Q100" s="2"/>
    </row>
    <row r="101" spans="1:17">
      <c r="A101">
        <v>100</v>
      </c>
      <c r="B101" t="s">
        <v>112</v>
      </c>
      <c r="C101" s="2"/>
      <c r="D101">
        <f>C101 * VLOOKUP("adipura", inject!A:B, 2, FALSE)</f>
        <v>0</v>
      </c>
      <c r="E101" s="2"/>
      <c r="F101" s="2"/>
      <c r="G101">
        <f>F101 * VLOOKUP("adiwiyata", inject!A:B, 2, FALSE)</f>
        <v>0</v>
      </c>
      <c r="H101" s="2"/>
      <c r="I101" s="2"/>
      <c r="J101">
        <f>I101 * VLOOKUP("proklim", inject!A:B, 2, FALSE)</f>
        <v>0</v>
      </c>
      <c r="K101" s="2"/>
      <c r="L101" s="2"/>
      <c r="M101">
        <f>L101 * VLOOKUP("proper", inject!A:B, 2, FALSE)</f>
        <v>0</v>
      </c>
      <c r="N101" s="2"/>
      <c r="O101" s="2"/>
      <c r="P101">
        <f>O101 * VLOOKUP("kaltaparu", inject!A:B, 2, FALSE)</f>
        <v>0</v>
      </c>
      <c r="Q101" s="2"/>
    </row>
    <row r="102" spans="1:17">
      <c r="A102">
        <v>101</v>
      </c>
      <c r="B102" t="s">
        <v>113</v>
      </c>
      <c r="C102" s="2"/>
      <c r="D102">
        <f>C102 * VLOOKUP("adipura", inject!A:B, 2, FALSE)</f>
        <v>0</v>
      </c>
      <c r="E102" s="2"/>
      <c r="F102" s="2"/>
      <c r="G102">
        <f>F102 * VLOOKUP("adiwiyata", inject!A:B, 2, FALSE)</f>
        <v>0</v>
      </c>
      <c r="H102" s="2"/>
      <c r="I102" s="2"/>
      <c r="J102">
        <f>I102 * VLOOKUP("proklim", inject!A:B, 2, FALSE)</f>
        <v>0</v>
      </c>
      <c r="K102" s="2"/>
      <c r="L102" s="2"/>
      <c r="M102">
        <f>L102 * VLOOKUP("proper", inject!A:B, 2, FALSE)</f>
        <v>0</v>
      </c>
      <c r="N102" s="2"/>
      <c r="O102" s="2"/>
      <c r="P102">
        <f>O102 * VLOOKUP("kaltaparu", inject!A:B, 2, FALSE)</f>
        <v>0</v>
      </c>
      <c r="Q102" s="2"/>
    </row>
    <row r="103" spans="1:17">
      <c r="A103">
        <v>102</v>
      </c>
      <c r="B103" t="s">
        <v>114</v>
      </c>
      <c r="C103" s="2"/>
      <c r="D103">
        <f>C103 * VLOOKUP("adipura", inject!A:B, 2, FALSE)</f>
        <v>0</v>
      </c>
      <c r="E103" s="2"/>
      <c r="F103" s="2"/>
      <c r="G103">
        <f>F103 * VLOOKUP("adiwiyata", inject!A:B, 2, FALSE)</f>
        <v>0</v>
      </c>
      <c r="H103" s="2"/>
      <c r="I103" s="2"/>
      <c r="J103">
        <f>I103 * VLOOKUP("proklim", inject!A:B, 2, FALSE)</f>
        <v>0</v>
      </c>
      <c r="K103" s="2"/>
      <c r="L103" s="2"/>
      <c r="M103">
        <f>L103 * VLOOKUP("proper", inject!A:B, 2, FALSE)</f>
        <v>0</v>
      </c>
      <c r="N103" s="2"/>
      <c r="O103" s="2"/>
      <c r="P103">
        <f>O103 * VLOOKUP("kaltaparu", inject!A:B, 2, FALSE)</f>
        <v>0</v>
      </c>
      <c r="Q103" s="2"/>
    </row>
    <row r="104" spans="1:17">
      <c r="A104">
        <v>103</v>
      </c>
      <c r="B104" t="s">
        <v>115</v>
      </c>
      <c r="C104" s="2"/>
      <c r="D104">
        <f>C104 * VLOOKUP("adipura", inject!A:B, 2, FALSE)</f>
        <v>0</v>
      </c>
      <c r="E104" s="2"/>
      <c r="F104" s="2"/>
      <c r="G104">
        <f>F104 * VLOOKUP("adiwiyata", inject!A:B, 2, FALSE)</f>
        <v>0</v>
      </c>
      <c r="H104" s="2"/>
      <c r="I104" s="2"/>
      <c r="J104">
        <f>I104 * VLOOKUP("proklim", inject!A:B, 2, FALSE)</f>
        <v>0</v>
      </c>
      <c r="K104" s="2"/>
      <c r="L104" s="2"/>
      <c r="M104">
        <f>L104 * VLOOKUP("proper", inject!A:B, 2, FALSE)</f>
        <v>0</v>
      </c>
      <c r="N104" s="2"/>
      <c r="O104" s="2"/>
      <c r="P104">
        <f>O104 * VLOOKUP("kaltaparu", inject!A:B, 2, FALSE)</f>
        <v>0</v>
      </c>
      <c r="Q104" s="2"/>
    </row>
    <row r="105" spans="1:17">
      <c r="A105">
        <v>104</v>
      </c>
      <c r="B105" t="s">
        <v>116</v>
      </c>
      <c r="C105" s="2"/>
      <c r="D105">
        <f>C105 * VLOOKUP("adipura", inject!A:B, 2, FALSE)</f>
        <v>0</v>
      </c>
      <c r="E105" s="2"/>
      <c r="F105" s="2"/>
      <c r="G105">
        <f>F105 * VLOOKUP("adiwiyata", inject!A:B, 2, FALSE)</f>
        <v>0</v>
      </c>
      <c r="H105" s="2"/>
      <c r="I105" s="2"/>
      <c r="J105">
        <f>I105 * VLOOKUP("proklim", inject!A:B, 2, FALSE)</f>
        <v>0</v>
      </c>
      <c r="K105" s="2"/>
      <c r="L105" s="2"/>
      <c r="M105">
        <f>L105 * VLOOKUP("proper", inject!A:B, 2, FALSE)</f>
        <v>0</v>
      </c>
      <c r="N105" s="2"/>
      <c r="O105" s="2"/>
      <c r="P105">
        <f>O105 * VLOOKUP("kaltaparu", inject!A:B, 2, FALSE)</f>
        <v>0</v>
      </c>
      <c r="Q105" s="2"/>
    </row>
    <row r="106" spans="1:17">
      <c r="A106">
        <v>105</v>
      </c>
      <c r="B106" t="s">
        <v>117</v>
      </c>
      <c r="C106" s="2"/>
      <c r="D106">
        <f>C106 * VLOOKUP("adipura", inject!A:B, 2, FALSE)</f>
        <v>0</v>
      </c>
      <c r="E106" s="2"/>
      <c r="F106" s="2"/>
      <c r="G106">
        <f>F106 * VLOOKUP("adiwiyata", inject!A:B, 2, FALSE)</f>
        <v>0</v>
      </c>
      <c r="H106" s="2"/>
      <c r="I106" s="2"/>
      <c r="J106">
        <f>I106 * VLOOKUP("proklim", inject!A:B, 2, FALSE)</f>
        <v>0</v>
      </c>
      <c r="K106" s="2"/>
      <c r="L106" s="2"/>
      <c r="M106">
        <f>L106 * VLOOKUP("proper", inject!A:B, 2, FALSE)</f>
        <v>0</v>
      </c>
      <c r="N106" s="2"/>
      <c r="O106" s="2"/>
      <c r="P106">
        <f>O106 * VLOOKUP("kaltaparu", inject!A:B, 2, FALSE)</f>
        <v>0</v>
      </c>
      <c r="Q106" s="2"/>
    </row>
    <row r="107" spans="1:17">
      <c r="A107">
        <v>106</v>
      </c>
      <c r="B107" t="s">
        <v>118</v>
      </c>
      <c r="C107" s="2"/>
      <c r="D107">
        <f>C107 * VLOOKUP("adipura", inject!A:B, 2, FALSE)</f>
        <v>0</v>
      </c>
      <c r="E107" s="2"/>
      <c r="F107" s="2"/>
      <c r="G107">
        <f>F107 * VLOOKUP("adiwiyata", inject!A:B, 2, FALSE)</f>
        <v>0</v>
      </c>
      <c r="H107" s="2"/>
      <c r="I107" s="2"/>
      <c r="J107">
        <f>I107 * VLOOKUP("proklim", inject!A:B, 2, FALSE)</f>
        <v>0</v>
      </c>
      <c r="K107" s="2"/>
      <c r="L107" s="2"/>
      <c r="M107">
        <f>L107 * VLOOKUP("proper", inject!A:B, 2, FALSE)</f>
        <v>0</v>
      </c>
      <c r="N107" s="2"/>
      <c r="O107" s="2"/>
      <c r="P107">
        <f>O107 * VLOOKUP("kaltaparu", inject!A:B, 2, FALSE)</f>
        <v>0</v>
      </c>
      <c r="Q107" s="2"/>
    </row>
    <row r="108" spans="1:17">
      <c r="A108">
        <v>107</v>
      </c>
      <c r="B108" t="s">
        <v>119</v>
      </c>
      <c r="C108" s="2"/>
      <c r="D108">
        <f>C108 * VLOOKUP("adipura", inject!A:B, 2, FALSE)</f>
        <v>0</v>
      </c>
      <c r="E108" s="2"/>
      <c r="F108" s="2"/>
      <c r="G108">
        <f>F108 * VLOOKUP("adiwiyata", inject!A:B, 2, FALSE)</f>
        <v>0</v>
      </c>
      <c r="H108" s="2"/>
      <c r="I108" s="2"/>
      <c r="J108">
        <f>I108 * VLOOKUP("proklim", inject!A:B, 2, FALSE)</f>
        <v>0</v>
      </c>
      <c r="K108" s="2"/>
      <c r="L108" s="2"/>
      <c r="M108">
        <f>L108 * VLOOKUP("proper", inject!A:B, 2, FALSE)</f>
        <v>0</v>
      </c>
      <c r="N108" s="2"/>
      <c r="O108" s="2"/>
      <c r="P108">
        <f>O108 * VLOOKUP("kaltaparu", inject!A:B, 2, FALSE)</f>
        <v>0</v>
      </c>
      <c r="Q108" s="2"/>
    </row>
    <row r="109" spans="1:17">
      <c r="A109">
        <v>108</v>
      </c>
      <c r="B109" t="s">
        <v>120</v>
      </c>
      <c r="C109" s="2"/>
      <c r="D109">
        <f>C109 * VLOOKUP("adipura", inject!A:B, 2, FALSE)</f>
        <v>0</v>
      </c>
      <c r="E109" s="2"/>
      <c r="F109" s="2"/>
      <c r="G109">
        <f>F109 * VLOOKUP("adiwiyata", inject!A:B, 2, FALSE)</f>
        <v>0</v>
      </c>
      <c r="H109" s="2"/>
      <c r="I109" s="2"/>
      <c r="J109">
        <f>I109 * VLOOKUP("proklim", inject!A:B, 2, FALSE)</f>
        <v>0</v>
      </c>
      <c r="K109" s="2"/>
      <c r="L109" s="2"/>
      <c r="M109">
        <f>L109 * VLOOKUP("proper", inject!A:B, 2, FALSE)</f>
        <v>0</v>
      </c>
      <c r="N109" s="2"/>
      <c r="O109" s="2"/>
      <c r="P109">
        <f>O109 * VLOOKUP("kaltaparu", inject!A:B, 2, FALSE)</f>
        <v>0</v>
      </c>
      <c r="Q109" s="2"/>
    </row>
    <row r="110" spans="1:17">
      <c r="A110">
        <v>109</v>
      </c>
      <c r="B110" t="s">
        <v>121</v>
      </c>
      <c r="C110" s="2"/>
      <c r="D110">
        <f>C110 * VLOOKUP("adipura", inject!A:B, 2, FALSE)</f>
        <v>0</v>
      </c>
      <c r="E110" s="2"/>
      <c r="F110" s="2"/>
      <c r="G110">
        <f>F110 * VLOOKUP("adiwiyata", inject!A:B, 2, FALSE)</f>
        <v>0</v>
      </c>
      <c r="H110" s="2"/>
      <c r="I110" s="2"/>
      <c r="J110">
        <f>I110 * VLOOKUP("proklim", inject!A:B, 2, FALSE)</f>
        <v>0</v>
      </c>
      <c r="K110" s="2"/>
      <c r="L110" s="2"/>
      <c r="M110">
        <f>L110 * VLOOKUP("proper", inject!A:B, 2, FALSE)</f>
        <v>0</v>
      </c>
      <c r="N110" s="2"/>
      <c r="O110" s="2"/>
      <c r="P110">
        <f>O110 * VLOOKUP("kaltaparu", inject!A:B, 2, FALSE)</f>
        <v>0</v>
      </c>
      <c r="Q110" s="2"/>
    </row>
    <row r="111" spans="1:17">
      <c r="A111">
        <v>110</v>
      </c>
      <c r="B111" t="s">
        <v>122</v>
      </c>
      <c r="C111" s="2"/>
      <c r="D111">
        <f>C111 * VLOOKUP("adipura", inject!A:B, 2, FALSE)</f>
        <v>0</v>
      </c>
      <c r="E111" s="2"/>
      <c r="F111" s="2"/>
      <c r="G111">
        <f>F111 * VLOOKUP("adiwiyata", inject!A:B, 2, FALSE)</f>
        <v>0</v>
      </c>
      <c r="H111" s="2"/>
      <c r="I111" s="2"/>
      <c r="J111">
        <f>I111 * VLOOKUP("proklim", inject!A:B, 2, FALSE)</f>
        <v>0</v>
      </c>
      <c r="K111" s="2"/>
      <c r="L111" s="2"/>
      <c r="M111">
        <f>L111 * VLOOKUP("proper", inject!A:B, 2, FALSE)</f>
        <v>0</v>
      </c>
      <c r="N111" s="2"/>
      <c r="O111" s="2"/>
      <c r="P111">
        <f>O111 * VLOOKUP("kaltaparu", inject!A:B, 2, FALSE)</f>
        <v>0</v>
      </c>
      <c r="Q111" s="2"/>
    </row>
    <row r="112" spans="1:17">
      <c r="A112">
        <v>111</v>
      </c>
      <c r="B112" t="s">
        <v>123</v>
      </c>
      <c r="C112" s="2"/>
      <c r="D112">
        <f>C112 * VLOOKUP("adipura", inject!A:B, 2, FALSE)</f>
        <v>0</v>
      </c>
      <c r="E112" s="2"/>
      <c r="F112" s="2"/>
      <c r="G112">
        <f>F112 * VLOOKUP("adiwiyata", inject!A:B, 2, FALSE)</f>
        <v>0</v>
      </c>
      <c r="H112" s="2"/>
      <c r="I112" s="2"/>
      <c r="J112">
        <f>I112 * VLOOKUP("proklim", inject!A:B, 2, FALSE)</f>
        <v>0</v>
      </c>
      <c r="K112" s="2"/>
      <c r="L112" s="2"/>
      <c r="M112">
        <f>L112 * VLOOKUP("proper", inject!A:B, 2, FALSE)</f>
        <v>0</v>
      </c>
      <c r="N112" s="2"/>
      <c r="O112" s="2"/>
      <c r="P112">
        <f>O112 * VLOOKUP("kaltaparu", inject!A:B, 2, FALSE)</f>
        <v>0</v>
      </c>
      <c r="Q112" s="2"/>
    </row>
    <row r="113" spans="1:17">
      <c r="A113">
        <v>112</v>
      </c>
      <c r="B113" t="s">
        <v>124</v>
      </c>
      <c r="C113" s="2"/>
      <c r="D113">
        <f>C113 * VLOOKUP("adipura", inject!A:B, 2, FALSE)</f>
        <v>0</v>
      </c>
      <c r="E113" s="2"/>
      <c r="F113" s="2"/>
      <c r="G113">
        <f>F113 * VLOOKUP("adiwiyata", inject!A:B, 2, FALSE)</f>
        <v>0</v>
      </c>
      <c r="H113" s="2"/>
      <c r="I113" s="2"/>
      <c r="J113">
        <f>I113 * VLOOKUP("proklim", inject!A:B, 2, FALSE)</f>
        <v>0</v>
      </c>
      <c r="K113" s="2"/>
      <c r="L113" s="2"/>
      <c r="M113">
        <f>L113 * VLOOKUP("proper", inject!A:B, 2, FALSE)</f>
        <v>0</v>
      </c>
      <c r="N113" s="2"/>
      <c r="O113" s="2"/>
      <c r="P113">
        <f>O113 * VLOOKUP("kaltaparu", inject!A:B, 2, FALSE)</f>
        <v>0</v>
      </c>
      <c r="Q113" s="2"/>
    </row>
    <row r="114" spans="1:17">
      <c r="A114">
        <v>113</v>
      </c>
      <c r="B114" t="s">
        <v>125</v>
      </c>
      <c r="C114" s="2"/>
      <c r="D114">
        <f>C114 * VLOOKUP("adipura", inject!A:B, 2, FALSE)</f>
        <v>0</v>
      </c>
      <c r="E114" s="2"/>
      <c r="F114" s="2"/>
      <c r="G114">
        <f>F114 * VLOOKUP("adiwiyata", inject!A:B, 2, FALSE)</f>
        <v>0</v>
      </c>
      <c r="H114" s="2"/>
      <c r="I114" s="2"/>
      <c r="J114">
        <f>I114 * VLOOKUP("proklim", inject!A:B, 2, FALSE)</f>
        <v>0</v>
      </c>
      <c r="K114" s="2"/>
      <c r="L114" s="2"/>
      <c r="M114">
        <f>L114 * VLOOKUP("proper", inject!A:B, 2, FALSE)</f>
        <v>0</v>
      </c>
      <c r="N114" s="2"/>
      <c r="O114" s="2"/>
      <c r="P114">
        <f>O114 * VLOOKUP("kaltaparu", inject!A:B, 2, FALSE)</f>
        <v>0</v>
      </c>
      <c r="Q114" s="2"/>
    </row>
    <row r="115" spans="1:17">
      <c r="A115">
        <v>114</v>
      </c>
      <c r="B115" t="s">
        <v>126</v>
      </c>
      <c r="C115" s="2"/>
      <c r="D115">
        <f>C115 * VLOOKUP("adipura", inject!A:B, 2, FALSE)</f>
        <v>0</v>
      </c>
      <c r="E115" s="2"/>
      <c r="F115" s="2"/>
      <c r="G115">
        <f>F115 * VLOOKUP("adiwiyata", inject!A:B, 2, FALSE)</f>
        <v>0</v>
      </c>
      <c r="H115" s="2"/>
      <c r="I115" s="2"/>
      <c r="J115">
        <f>I115 * VLOOKUP("proklim", inject!A:B, 2, FALSE)</f>
        <v>0</v>
      </c>
      <c r="K115" s="2"/>
      <c r="L115" s="2"/>
      <c r="M115">
        <f>L115 * VLOOKUP("proper", inject!A:B, 2, FALSE)</f>
        <v>0</v>
      </c>
      <c r="N115" s="2"/>
      <c r="O115" s="2"/>
      <c r="P115">
        <f>O115 * VLOOKUP("kaltaparu", inject!A:B, 2, FALSE)</f>
        <v>0</v>
      </c>
      <c r="Q115" s="2"/>
    </row>
    <row r="116" spans="1:17">
      <c r="A116">
        <v>115</v>
      </c>
      <c r="B116" t="s">
        <v>127</v>
      </c>
      <c r="C116" s="2"/>
      <c r="D116">
        <f>C116 * VLOOKUP("adipura", inject!A:B, 2, FALSE)</f>
        <v>0</v>
      </c>
      <c r="E116" s="2"/>
      <c r="F116" s="2"/>
      <c r="G116">
        <f>F116 * VLOOKUP("adiwiyata", inject!A:B, 2, FALSE)</f>
        <v>0</v>
      </c>
      <c r="H116" s="2"/>
      <c r="I116" s="2"/>
      <c r="J116">
        <f>I116 * VLOOKUP("proklim", inject!A:B, 2, FALSE)</f>
        <v>0</v>
      </c>
      <c r="K116" s="2"/>
      <c r="L116" s="2"/>
      <c r="M116">
        <f>L116 * VLOOKUP("proper", inject!A:B, 2, FALSE)</f>
        <v>0</v>
      </c>
      <c r="N116" s="2"/>
      <c r="O116" s="2"/>
      <c r="P116">
        <f>O116 * VLOOKUP("kaltaparu", inject!A:B, 2, FALSE)</f>
        <v>0</v>
      </c>
      <c r="Q116" s="2"/>
    </row>
    <row r="117" spans="1:17">
      <c r="A117">
        <v>116</v>
      </c>
      <c r="B117" t="s">
        <v>128</v>
      </c>
      <c r="C117" s="2"/>
      <c r="D117">
        <f>C117 * VLOOKUP("adipura", inject!A:B, 2, FALSE)</f>
        <v>0</v>
      </c>
      <c r="E117" s="2"/>
      <c r="F117" s="2"/>
      <c r="G117">
        <f>F117 * VLOOKUP("adiwiyata", inject!A:B, 2, FALSE)</f>
        <v>0</v>
      </c>
      <c r="H117" s="2"/>
      <c r="I117" s="2"/>
      <c r="J117">
        <f>I117 * VLOOKUP("proklim", inject!A:B, 2, FALSE)</f>
        <v>0</v>
      </c>
      <c r="K117" s="2"/>
      <c r="L117" s="2"/>
      <c r="M117">
        <f>L117 * VLOOKUP("proper", inject!A:B, 2, FALSE)</f>
        <v>0</v>
      </c>
      <c r="N117" s="2"/>
      <c r="O117" s="2"/>
      <c r="P117">
        <f>O117 * VLOOKUP("kaltaparu", inject!A:B, 2, FALSE)</f>
        <v>0</v>
      </c>
      <c r="Q117" s="2"/>
    </row>
    <row r="118" spans="1:17">
      <c r="A118">
        <v>117</v>
      </c>
      <c r="B118" t="s">
        <v>129</v>
      </c>
      <c r="C118" s="2"/>
      <c r="D118">
        <f>C118 * VLOOKUP("adipura", inject!A:B, 2, FALSE)</f>
        <v>0</v>
      </c>
      <c r="E118" s="2"/>
      <c r="F118" s="2"/>
      <c r="G118">
        <f>F118 * VLOOKUP("adiwiyata", inject!A:B, 2, FALSE)</f>
        <v>0</v>
      </c>
      <c r="H118" s="2"/>
      <c r="I118" s="2"/>
      <c r="J118">
        <f>I118 * VLOOKUP("proklim", inject!A:B, 2, FALSE)</f>
        <v>0</v>
      </c>
      <c r="K118" s="2"/>
      <c r="L118" s="2"/>
      <c r="M118">
        <f>L118 * VLOOKUP("proper", inject!A:B, 2, FALSE)</f>
        <v>0</v>
      </c>
      <c r="N118" s="2"/>
      <c r="O118" s="2"/>
      <c r="P118">
        <f>O118 * VLOOKUP("kaltaparu", inject!A:B, 2, FALSE)</f>
        <v>0</v>
      </c>
      <c r="Q118" s="2"/>
    </row>
    <row r="119" spans="1:17">
      <c r="A119">
        <v>118</v>
      </c>
      <c r="B119" t="s">
        <v>130</v>
      </c>
      <c r="C119" s="2"/>
      <c r="D119">
        <f>C119 * VLOOKUP("adipura", inject!A:B, 2, FALSE)</f>
        <v>0</v>
      </c>
      <c r="E119" s="2"/>
      <c r="F119" s="2"/>
      <c r="G119">
        <f>F119 * VLOOKUP("adiwiyata", inject!A:B, 2, FALSE)</f>
        <v>0</v>
      </c>
      <c r="H119" s="2"/>
      <c r="I119" s="2"/>
      <c r="J119">
        <f>I119 * VLOOKUP("proklim", inject!A:B, 2, FALSE)</f>
        <v>0</v>
      </c>
      <c r="K119" s="2"/>
      <c r="L119" s="2"/>
      <c r="M119">
        <f>L119 * VLOOKUP("proper", inject!A:B, 2, FALSE)</f>
        <v>0</v>
      </c>
      <c r="N119" s="2"/>
      <c r="O119" s="2"/>
      <c r="P119">
        <f>O119 * VLOOKUP("kaltaparu", inject!A:B, 2, FALSE)</f>
        <v>0</v>
      </c>
      <c r="Q119" s="2"/>
    </row>
    <row r="120" spans="1:17">
      <c r="A120">
        <v>119</v>
      </c>
      <c r="B120" t="s">
        <v>131</v>
      </c>
      <c r="C120" s="2"/>
      <c r="D120">
        <f>C120 * VLOOKUP("adipura", inject!A:B, 2, FALSE)</f>
        <v>0</v>
      </c>
      <c r="E120" s="2"/>
      <c r="F120" s="2"/>
      <c r="G120">
        <f>F120 * VLOOKUP("adiwiyata", inject!A:B, 2, FALSE)</f>
        <v>0</v>
      </c>
      <c r="H120" s="2"/>
      <c r="I120" s="2"/>
      <c r="J120">
        <f>I120 * VLOOKUP("proklim", inject!A:B, 2, FALSE)</f>
        <v>0</v>
      </c>
      <c r="K120" s="2"/>
      <c r="L120" s="2"/>
      <c r="M120">
        <f>L120 * VLOOKUP("proper", inject!A:B, 2, FALSE)</f>
        <v>0</v>
      </c>
      <c r="N120" s="2"/>
      <c r="O120" s="2"/>
      <c r="P120">
        <f>O120 * VLOOKUP("kaltaparu", inject!A:B, 2, FALSE)</f>
        <v>0</v>
      </c>
      <c r="Q120" s="2"/>
    </row>
    <row r="121" spans="1:17">
      <c r="A121">
        <v>120</v>
      </c>
      <c r="B121" t="s">
        <v>132</v>
      </c>
      <c r="C121" s="2"/>
      <c r="D121">
        <f>C121 * VLOOKUP("adipura", inject!A:B, 2, FALSE)</f>
        <v>0</v>
      </c>
      <c r="E121" s="2"/>
      <c r="F121" s="2"/>
      <c r="G121">
        <f>F121 * VLOOKUP("adiwiyata", inject!A:B, 2, FALSE)</f>
        <v>0</v>
      </c>
      <c r="H121" s="2"/>
      <c r="I121" s="2"/>
      <c r="J121">
        <f>I121 * VLOOKUP("proklim", inject!A:B, 2, FALSE)</f>
        <v>0</v>
      </c>
      <c r="K121" s="2"/>
      <c r="L121" s="2"/>
      <c r="M121">
        <f>L121 * VLOOKUP("proper", inject!A:B, 2, FALSE)</f>
        <v>0</v>
      </c>
      <c r="N121" s="2"/>
      <c r="O121" s="2"/>
      <c r="P121">
        <f>O121 * VLOOKUP("kaltaparu", inject!A:B, 2, FALSE)</f>
        <v>0</v>
      </c>
      <c r="Q121" s="2"/>
    </row>
    <row r="122" spans="1:17">
      <c r="A122">
        <v>121</v>
      </c>
      <c r="B122" t="s">
        <v>133</v>
      </c>
      <c r="C122" s="2"/>
      <c r="D122">
        <f>C122 * VLOOKUP("adipura", inject!A:B, 2, FALSE)</f>
        <v>0</v>
      </c>
      <c r="E122" s="2"/>
      <c r="F122" s="2"/>
      <c r="G122">
        <f>F122 * VLOOKUP("adiwiyata", inject!A:B, 2, FALSE)</f>
        <v>0</v>
      </c>
      <c r="H122" s="2"/>
      <c r="I122" s="2"/>
      <c r="J122">
        <f>I122 * VLOOKUP("proklim", inject!A:B, 2, FALSE)</f>
        <v>0</v>
      </c>
      <c r="K122" s="2"/>
      <c r="L122" s="2"/>
      <c r="M122">
        <f>L122 * VLOOKUP("proper", inject!A:B, 2, FALSE)</f>
        <v>0</v>
      </c>
      <c r="N122" s="2"/>
      <c r="O122" s="2"/>
      <c r="P122">
        <f>O122 * VLOOKUP("kaltaparu", inject!A:B, 2, FALSE)</f>
        <v>0</v>
      </c>
      <c r="Q122" s="2"/>
    </row>
    <row r="123" spans="1:17">
      <c r="A123">
        <v>122</v>
      </c>
      <c r="B123" t="s">
        <v>134</v>
      </c>
      <c r="C123" s="2"/>
      <c r="D123">
        <f>C123 * VLOOKUP("adipura", inject!A:B, 2, FALSE)</f>
        <v>0</v>
      </c>
      <c r="E123" s="2"/>
      <c r="F123" s="2"/>
      <c r="G123">
        <f>F123 * VLOOKUP("adiwiyata", inject!A:B, 2, FALSE)</f>
        <v>0</v>
      </c>
      <c r="H123" s="2"/>
      <c r="I123" s="2"/>
      <c r="J123">
        <f>I123 * VLOOKUP("proklim", inject!A:B, 2, FALSE)</f>
        <v>0</v>
      </c>
      <c r="K123" s="2"/>
      <c r="L123" s="2"/>
      <c r="M123">
        <f>L123 * VLOOKUP("proper", inject!A:B, 2, FALSE)</f>
        <v>0</v>
      </c>
      <c r="N123" s="2"/>
      <c r="O123" s="2"/>
      <c r="P123">
        <f>O123 * VLOOKUP("kaltaparu", inject!A:B, 2, FALSE)</f>
        <v>0</v>
      </c>
      <c r="Q123" s="2"/>
    </row>
    <row r="124" spans="1:17">
      <c r="A124">
        <v>123</v>
      </c>
      <c r="B124" t="s">
        <v>135</v>
      </c>
      <c r="C124" s="2"/>
      <c r="D124">
        <f>C124 * VLOOKUP("adipura", inject!A:B, 2, FALSE)</f>
        <v>0</v>
      </c>
      <c r="E124" s="2"/>
      <c r="F124" s="2"/>
      <c r="G124">
        <f>F124 * VLOOKUP("adiwiyata", inject!A:B, 2, FALSE)</f>
        <v>0</v>
      </c>
      <c r="H124" s="2"/>
      <c r="I124" s="2"/>
      <c r="J124">
        <f>I124 * VLOOKUP("proklim", inject!A:B, 2, FALSE)</f>
        <v>0</v>
      </c>
      <c r="K124" s="2"/>
      <c r="L124" s="2"/>
      <c r="M124">
        <f>L124 * VLOOKUP("proper", inject!A:B, 2, FALSE)</f>
        <v>0</v>
      </c>
      <c r="N124" s="2"/>
      <c r="O124" s="2"/>
      <c r="P124">
        <f>O124 * VLOOKUP("kaltaparu", inject!A:B, 2, FALSE)</f>
        <v>0</v>
      </c>
      <c r="Q124" s="2"/>
    </row>
    <row r="125" spans="1:17">
      <c r="A125">
        <v>124</v>
      </c>
      <c r="B125" t="s">
        <v>136</v>
      </c>
      <c r="C125" s="2"/>
      <c r="D125">
        <f>C125 * VLOOKUP("adipura", inject!A:B, 2, FALSE)</f>
        <v>0</v>
      </c>
      <c r="E125" s="2"/>
      <c r="F125" s="2"/>
      <c r="G125">
        <f>F125 * VLOOKUP("adiwiyata", inject!A:B, 2, FALSE)</f>
        <v>0</v>
      </c>
      <c r="H125" s="2"/>
      <c r="I125" s="2"/>
      <c r="J125">
        <f>I125 * VLOOKUP("proklim", inject!A:B, 2, FALSE)</f>
        <v>0</v>
      </c>
      <c r="K125" s="2"/>
      <c r="L125" s="2"/>
      <c r="M125">
        <f>L125 * VLOOKUP("proper", inject!A:B, 2, FALSE)</f>
        <v>0</v>
      </c>
      <c r="N125" s="2"/>
      <c r="O125" s="2"/>
      <c r="P125">
        <f>O125 * VLOOKUP("kaltaparu", inject!A:B, 2, FALSE)</f>
        <v>0</v>
      </c>
      <c r="Q125" s="2"/>
    </row>
    <row r="126" spans="1:17">
      <c r="A126">
        <v>125</v>
      </c>
      <c r="B126" t="s">
        <v>137</v>
      </c>
      <c r="C126" s="2"/>
      <c r="D126">
        <f>C126 * VLOOKUP("adipura", inject!A:B, 2, FALSE)</f>
        <v>0</v>
      </c>
      <c r="E126" s="2"/>
      <c r="F126" s="2"/>
      <c r="G126">
        <f>F126 * VLOOKUP("adiwiyata", inject!A:B, 2, FALSE)</f>
        <v>0</v>
      </c>
      <c r="H126" s="2"/>
      <c r="I126" s="2"/>
      <c r="J126">
        <f>I126 * VLOOKUP("proklim", inject!A:B, 2, FALSE)</f>
        <v>0</v>
      </c>
      <c r="K126" s="2"/>
      <c r="L126" s="2"/>
      <c r="M126">
        <f>L126 * VLOOKUP("proper", inject!A:B, 2, FALSE)</f>
        <v>0</v>
      </c>
      <c r="N126" s="2"/>
      <c r="O126" s="2"/>
      <c r="P126">
        <f>O126 * VLOOKUP("kaltaparu", inject!A:B, 2, FALSE)</f>
        <v>0</v>
      </c>
      <c r="Q126" s="2"/>
    </row>
    <row r="127" spans="1:17">
      <c r="A127">
        <v>126</v>
      </c>
      <c r="B127" t="s">
        <v>138</v>
      </c>
      <c r="C127" s="2"/>
      <c r="D127">
        <f>C127 * VLOOKUP("adipura", inject!A:B, 2, FALSE)</f>
        <v>0</v>
      </c>
      <c r="E127" s="2"/>
      <c r="F127" s="2"/>
      <c r="G127">
        <f>F127 * VLOOKUP("adiwiyata", inject!A:B, 2, FALSE)</f>
        <v>0</v>
      </c>
      <c r="H127" s="2"/>
      <c r="I127" s="2"/>
      <c r="J127">
        <f>I127 * VLOOKUP("proklim", inject!A:B, 2, FALSE)</f>
        <v>0</v>
      </c>
      <c r="K127" s="2"/>
      <c r="L127" s="2"/>
      <c r="M127">
        <f>L127 * VLOOKUP("proper", inject!A:B, 2, FALSE)</f>
        <v>0</v>
      </c>
      <c r="N127" s="2"/>
      <c r="O127" s="2"/>
      <c r="P127">
        <f>O127 * VLOOKUP("kaltaparu", inject!A:B, 2, FALSE)</f>
        <v>0</v>
      </c>
      <c r="Q127" s="2"/>
    </row>
    <row r="128" spans="1:17">
      <c r="A128">
        <v>127</v>
      </c>
      <c r="B128" t="s">
        <v>139</v>
      </c>
      <c r="C128" s="2"/>
      <c r="D128">
        <f>C128 * VLOOKUP("adipura", inject!A:B, 2, FALSE)</f>
        <v>0</v>
      </c>
      <c r="E128" s="2"/>
      <c r="F128" s="2"/>
      <c r="G128">
        <f>F128 * VLOOKUP("adiwiyata", inject!A:B, 2, FALSE)</f>
        <v>0</v>
      </c>
      <c r="H128" s="2"/>
      <c r="I128" s="2"/>
      <c r="J128">
        <f>I128 * VLOOKUP("proklim", inject!A:B, 2, FALSE)</f>
        <v>0</v>
      </c>
      <c r="K128" s="2"/>
      <c r="L128" s="2"/>
      <c r="M128">
        <f>L128 * VLOOKUP("proper", inject!A:B, 2, FALSE)</f>
        <v>0</v>
      </c>
      <c r="N128" s="2"/>
      <c r="O128" s="2"/>
      <c r="P128">
        <f>O128 * VLOOKUP("kaltaparu", inject!A:B, 2, FALSE)</f>
        <v>0</v>
      </c>
      <c r="Q128" s="2"/>
    </row>
    <row r="129" spans="1:17">
      <c r="A129">
        <v>128</v>
      </c>
      <c r="B129" t="s">
        <v>140</v>
      </c>
      <c r="C129" s="2"/>
      <c r="D129">
        <f>C129 * VLOOKUP("adipura", inject!A:B, 2, FALSE)</f>
        <v>0</v>
      </c>
      <c r="E129" s="2"/>
      <c r="F129" s="2"/>
      <c r="G129">
        <f>F129 * VLOOKUP("adiwiyata", inject!A:B, 2, FALSE)</f>
        <v>0</v>
      </c>
      <c r="H129" s="2"/>
      <c r="I129" s="2"/>
      <c r="J129">
        <f>I129 * VLOOKUP("proklim", inject!A:B, 2, FALSE)</f>
        <v>0</v>
      </c>
      <c r="K129" s="2"/>
      <c r="L129" s="2"/>
      <c r="M129">
        <f>L129 * VLOOKUP("proper", inject!A:B, 2, FALSE)</f>
        <v>0</v>
      </c>
      <c r="N129" s="2"/>
      <c r="O129" s="2"/>
      <c r="P129">
        <f>O129 * VLOOKUP("kaltaparu", inject!A:B, 2, FALSE)</f>
        <v>0</v>
      </c>
      <c r="Q129" s="2"/>
    </row>
    <row r="130" spans="1:17">
      <c r="A130">
        <v>129</v>
      </c>
      <c r="B130" t="s">
        <v>141</v>
      </c>
      <c r="C130" s="2"/>
      <c r="D130">
        <f>C130 * VLOOKUP("adipura", inject!A:B, 2, FALSE)</f>
        <v>0</v>
      </c>
      <c r="E130" s="2"/>
      <c r="F130" s="2"/>
      <c r="G130">
        <f>F130 * VLOOKUP("adiwiyata", inject!A:B, 2, FALSE)</f>
        <v>0</v>
      </c>
      <c r="H130" s="2"/>
      <c r="I130" s="2"/>
      <c r="J130">
        <f>I130 * VLOOKUP("proklim", inject!A:B, 2, FALSE)</f>
        <v>0</v>
      </c>
      <c r="K130" s="2"/>
      <c r="L130" s="2"/>
      <c r="M130">
        <f>L130 * VLOOKUP("proper", inject!A:B, 2, FALSE)</f>
        <v>0</v>
      </c>
      <c r="N130" s="2"/>
      <c r="O130" s="2"/>
      <c r="P130">
        <f>O130 * VLOOKUP("kaltaparu", inject!A:B, 2, FALSE)</f>
        <v>0</v>
      </c>
      <c r="Q130" s="2"/>
    </row>
    <row r="131" spans="1:17">
      <c r="A131">
        <v>130</v>
      </c>
      <c r="B131" t="s">
        <v>142</v>
      </c>
      <c r="C131" s="2"/>
      <c r="D131">
        <f>C131 * VLOOKUP("adipura", inject!A:B, 2, FALSE)</f>
        <v>0</v>
      </c>
      <c r="E131" s="2"/>
      <c r="F131" s="2"/>
      <c r="G131">
        <f>F131 * VLOOKUP("adiwiyata", inject!A:B, 2, FALSE)</f>
        <v>0</v>
      </c>
      <c r="H131" s="2"/>
      <c r="I131" s="2"/>
      <c r="J131">
        <f>I131 * VLOOKUP("proklim", inject!A:B, 2, FALSE)</f>
        <v>0</v>
      </c>
      <c r="K131" s="2"/>
      <c r="L131" s="2"/>
      <c r="M131">
        <f>L131 * VLOOKUP("proper", inject!A:B, 2, FALSE)</f>
        <v>0</v>
      </c>
      <c r="N131" s="2"/>
      <c r="O131" s="2"/>
      <c r="P131">
        <f>O131 * VLOOKUP("kaltaparu", inject!A:B, 2, FALSE)</f>
        <v>0</v>
      </c>
      <c r="Q131" s="2"/>
    </row>
    <row r="132" spans="1:17">
      <c r="A132">
        <v>131</v>
      </c>
      <c r="B132" t="s">
        <v>143</v>
      </c>
      <c r="C132" s="2"/>
      <c r="D132">
        <f>C132 * VLOOKUP("adipura", inject!A:B, 2, FALSE)</f>
        <v>0</v>
      </c>
      <c r="E132" s="2"/>
      <c r="F132" s="2"/>
      <c r="G132">
        <f>F132 * VLOOKUP("adiwiyata", inject!A:B, 2, FALSE)</f>
        <v>0</v>
      </c>
      <c r="H132" s="2"/>
      <c r="I132" s="2"/>
      <c r="J132">
        <f>I132 * VLOOKUP("proklim", inject!A:B, 2, FALSE)</f>
        <v>0</v>
      </c>
      <c r="K132" s="2"/>
      <c r="L132" s="2"/>
      <c r="M132">
        <f>L132 * VLOOKUP("proper", inject!A:B, 2, FALSE)</f>
        <v>0</v>
      </c>
      <c r="N132" s="2"/>
      <c r="O132" s="2"/>
      <c r="P132">
        <f>O132 * VLOOKUP("kaltaparu", inject!A:B, 2, FALSE)</f>
        <v>0</v>
      </c>
      <c r="Q132" s="2"/>
    </row>
    <row r="133" spans="1:17">
      <c r="A133">
        <v>132</v>
      </c>
      <c r="B133" t="s">
        <v>144</v>
      </c>
      <c r="C133" s="2"/>
      <c r="D133">
        <f>C133 * VLOOKUP("adipura", inject!A:B, 2, FALSE)</f>
        <v>0</v>
      </c>
      <c r="E133" s="2"/>
      <c r="F133" s="2"/>
      <c r="G133">
        <f>F133 * VLOOKUP("adiwiyata", inject!A:B, 2, FALSE)</f>
        <v>0</v>
      </c>
      <c r="H133" s="2"/>
      <c r="I133" s="2"/>
      <c r="J133">
        <f>I133 * VLOOKUP("proklim", inject!A:B, 2, FALSE)</f>
        <v>0</v>
      </c>
      <c r="K133" s="2"/>
      <c r="L133" s="2"/>
      <c r="M133">
        <f>L133 * VLOOKUP("proper", inject!A:B, 2, FALSE)</f>
        <v>0</v>
      </c>
      <c r="N133" s="2"/>
      <c r="O133" s="2"/>
      <c r="P133">
        <f>O133 * VLOOKUP("kaltaparu", inject!A:B, 2, FALSE)</f>
        <v>0</v>
      </c>
      <c r="Q133" s="2"/>
    </row>
    <row r="134" spans="1:17">
      <c r="A134">
        <v>133</v>
      </c>
      <c r="B134" t="s">
        <v>145</v>
      </c>
      <c r="C134" s="2"/>
      <c r="D134">
        <f>C134 * VLOOKUP("adipura", inject!A:B, 2, FALSE)</f>
        <v>0</v>
      </c>
      <c r="E134" s="2"/>
      <c r="F134" s="2"/>
      <c r="G134">
        <f>F134 * VLOOKUP("adiwiyata", inject!A:B, 2, FALSE)</f>
        <v>0</v>
      </c>
      <c r="H134" s="2"/>
      <c r="I134" s="2"/>
      <c r="J134">
        <f>I134 * VLOOKUP("proklim", inject!A:B, 2, FALSE)</f>
        <v>0</v>
      </c>
      <c r="K134" s="2"/>
      <c r="L134" s="2"/>
      <c r="M134">
        <f>L134 * VLOOKUP("proper", inject!A:B, 2, FALSE)</f>
        <v>0</v>
      </c>
      <c r="N134" s="2"/>
      <c r="O134" s="2"/>
      <c r="P134">
        <f>O134 * VLOOKUP("kaltaparu", inject!A:B, 2, FALSE)</f>
        <v>0</v>
      </c>
      <c r="Q134" s="2"/>
    </row>
    <row r="135" spans="1:17">
      <c r="A135">
        <v>134</v>
      </c>
      <c r="B135" t="s">
        <v>146</v>
      </c>
      <c r="C135" s="2"/>
      <c r="D135">
        <f>C135 * VLOOKUP("adipura", inject!A:B, 2, FALSE)</f>
        <v>0</v>
      </c>
      <c r="E135" s="2"/>
      <c r="F135" s="2"/>
      <c r="G135">
        <f>F135 * VLOOKUP("adiwiyata", inject!A:B, 2, FALSE)</f>
        <v>0</v>
      </c>
      <c r="H135" s="2"/>
      <c r="I135" s="2"/>
      <c r="J135">
        <f>I135 * VLOOKUP("proklim", inject!A:B, 2, FALSE)</f>
        <v>0</v>
      </c>
      <c r="K135" s="2"/>
      <c r="L135" s="2"/>
      <c r="M135">
        <f>L135 * VLOOKUP("proper", inject!A:B, 2, FALSE)</f>
        <v>0</v>
      </c>
      <c r="N135" s="2"/>
      <c r="O135" s="2"/>
      <c r="P135">
        <f>O135 * VLOOKUP("kaltaparu", inject!A:B, 2, FALSE)</f>
        <v>0</v>
      </c>
      <c r="Q135" s="2"/>
    </row>
    <row r="136" spans="1:17">
      <c r="A136">
        <v>135</v>
      </c>
      <c r="B136" t="s">
        <v>147</v>
      </c>
      <c r="C136" s="2"/>
      <c r="D136">
        <f>C136 * VLOOKUP("adipura", inject!A:B, 2, FALSE)</f>
        <v>0</v>
      </c>
      <c r="E136" s="2"/>
      <c r="F136" s="2"/>
      <c r="G136">
        <f>F136 * VLOOKUP("adiwiyata", inject!A:B, 2, FALSE)</f>
        <v>0</v>
      </c>
      <c r="H136" s="2"/>
      <c r="I136" s="2"/>
      <c r="J136">
        <f>I136 * VLOOKUP("proklim", inject!A:B, 2, FALSE)</f>
        <v>0</v>
      </c>
      <c r="K136" s="2"/>
      <c r="L136" s="2"/>
      <c r="M136">
        <f>L136 * VLOOKUP("proper", inject!A:B, 2, FALSE)</f>
        <v>0</v>
      </c>
      <c r="N136" s="2"/>
      <c r="O136" s="2"/>
      <c r="P136">
        <f>O136 * VLOOKUP("kaltaparu", inject!A:B, 2, FALSE)</f>
        <v>0</v>
      </c>
      <c r="Q136" s="2"/>
    </row>
    <row r="137" spans="1:17">
      <c r="A137">
        <v>136</v>
      </c>
      <c r="B137" t="s">
        <v>148</v>
      </c>
      <c r="C137" s="2"/>
      <c r="D137">
        <f>C137 * VLOOKUP("adipura", inject!A:B, 2, FALSE)</f>
        <v>0</v>
      </c>
      <c r="E137" s="2"/>
      <c r="F137" s="2"/>
      <c r="G137">
        <f>F137 * VLOOKUP("adiwiyata", inject!A:B, 2, FALSE)</f>
        <v>0</v>
      </c>
      <c r="H137" s="2"/>
      <c r="I137" s="2"/>
      <c r="J137">
        <f>I137 * VLOOKUP("proklim", inject!A:B, 2, FALSE)</f>
        <v>0</v>
      </c>
      <c r="K137" s="2"/>
      <c r="L137" s="2"/>
      <c r="M137">
        <f>L137 * VLOOKUP("proper", inject!A:B, 2, FALSE)</f>
        <v>0</v>
      </c>
      <c r="N137" s="2"/>
      <c r="O137" s="2"/>
      <c r="P137">
        <f>O137 * VLOOKUP("kaltaparu", inject!A:B, 2, FALSE)</f>
        <v>0</v>
      </c>
      <c r="Q137" s="2"/>
    </row>
    <row r="138" spans="1:17">
      <c r="A138">
        <v>137</v>
      </c>
      <c r="B138" t="s">
        <v>149</v>
      </c>
      <c r="C138" s="2"/>
      <c r="D138">
        <f>C138 * VLOOKUP("adipura", inject!A:B, 2, FALSE)</f>
        <v>0</v>
      </c>
      <c r="E138" s="2"/>
      <c r="F138" s="2"/>
      <c r="G138">
        <f>F138 * VLOOKUP("adiwiyata", inject!A:B, 2, FALSE)</f>
        <v>0</v>
      </c>
      <c r="H138" s="2"/>
      <c r="I138" s="2"/>
      <c r="J138">
        <f>I138 * VLOOKUP("proklim", inject!A:B, 2, FALSE)</f>
        <v>0</v>
      </c>
      <c r="K138" s="2"/>
      <c r="L138" s="2"/>
      <c r="M138">
        <f>L138 * VLOOKUP("proper", inject!A:B, 2, FALSE)</f>
        <v>0</v>
      </c>
      <c r="N138" s="2"/>
      <c r="O138" s="2"/>
      <c r="P138">
        <f>O138 * VLOOKUP("kaltaparu", inject!A:B, 2, FALSE)</f>
        <v>0</v>
      </c>
      <c r="Q138" s="2"/>
    </row>
    <row r="139" spans="1:17">
      <c r="A139">
        <v>138</v>
      </c>
      <c r="B139" t="s">
        <v>150</v>
      </c>
      <c r="C139" s="2"/>
      <c r="D139">
        <f>C139 * VLOOKUP("adipura", inject!A:B, 2, FALSE)</f>
        <v>0</v>
      </c>
      <c r="E139" s="2"/>
      <c r="F139" s="2"/>
      <c r="G139">
        <f>F139 * VLOOKUP("adiwiyata", inject!A:B, 2, FALSE)</f>
        <v>0</v>
      </c>
      <c r="H139" s="2"/>
      <c r="I139" s="2"/>
      <c r="J139">
        <f>I139 * VLOOKUP("proklim", inject!A:B, 2, FALSE)</f>
        <v>0</v>
      </c>
      <c r="K139" s="2"/>
      <c r="L139" s="2"/>
      <c r="M139">
        <f>L139 * VLOOKUP("proper", inject!A:B, 2, FALSE)</f>
        <v>0</v>
      </c>
      <c r="N139" s="2"/>
      <c r="O139" s="2"/>
      <c r="P139">
        <f>O139 * VLOOKUP("kaltaparu", inject!A:B, 2, FALSE)</f>
        <v>0</v>
      </c>
      <c r="Q139" s="2"/>
    </row>
    <row r="140" spans="1:17">
      <c r="A140">
        <v>139</v>
      </c>
      <c r="B140" t="s">
        <v>151</v>
      </c>
      <c r="C140" s="2"/>
      <c r="D140">
        <f>C140 * VLOOKUP("adipura", inject!A:B, 2, FALSE)</f>
        <v>0</v>
      </c>
      <c r="E140" s="2"/>
      <c r="F140" s="2"/>
      <c r="G140">
        <f>F140 * VLOOKUP("adiwiyata", inject!A:B, 2, FALSE)</f>
        <v>0</v>
      </c>
      <c r="H140" s="2"/>
      <c r="I140" s="2"/>
      <c r="J140">
        <f>I140 * VLOOKUP("proklim", inject!A:B, 2, FALSE)</f>
        <v>0</v>
      </c>
      <c r="K140" s="2"/>
      <c r="L140" s="2"/>
      <c r="M140">
        <f>L140 * VLOOKUP("proper", inject!A:B, 2, FALSE)</f>
        <v>0</v>
      </c>
      <c r="N140" s="2"/>
      <c r="O140" s="2"/>
      <c r="P140">
        <f>O140 * VLOOKUP("kaltaparu", inject!A:B, 2, FALSE)</f>
        <v>0</v>
      </c>
      <c r="Q140" s="2"/>
    </row>
    <row r="141" spans="1:17">
      <c r="A141">
        <v>140</v>
      </c>
      <c r="B141" t="s">
        <v>152</v>
      </c>
      <c r="C141" s="2"/>
      <c r="D141">
        <f>C141 * VLOOKUP("adipura", inject!A:B, 2, FALSE)</f>
        <v>0</v>
      </c>
      <c r="E141" s="2"/>
      <c r="F141" s="2"/>
      <c r="G141">
        <f>F141 * VLOOKUP("adiwiyata", inject!A:B, 2, FALSE)</f>
        <v>0</v>
      </c>
      <c r="H141" s="2"/>
      <c r="I141" s="2"/>
      <c r="J141">
        <f>I141 * VLOOKUP("proklim", inject!A:B, 2, FALSE)</f>
        <v>0</v>
      </c>
      <c r="K141" s="2"/>
      <c r="L141" s="2"/>
      <c r="M141">
        <f>L141 * VLOOKUP("proper", inject!A:B, 2, FALSE)</f>
        <v>0</v>
      </c>
      <c r="N141" s="2"/>
      <c r="O141" s="2"/>
      <c r="P141">
        <f>O141 * VLOOKUP("kaltaparu", inject!A:B, 2, FALSE)</f>
        <v>0</v>
      </c>
      <c r="Q141" s="2"/>
    </row>
    <row r="142" spans="1:17">
      <c r="A142">
        <v>141</v>
      </c>
      <c r="B142" t="s">
        <v>153</v>
      </c>
      <c r="C142" s="2"/>
      <c r="D142">
        <f>C142 * VLOOKUP("adipura", inject!A:B, 2, FALSE)</f>
        <v>0</v>
      </c>
      <c r="E142" s="2"/>
      <c r="F142" s="2"/>
      <c r="G142">
        <f>F142 * VLOOKUP("adiwiyata", inject!A:B, 2, FALSE)</f>
        <v>0</v>
      </c>
      <c r="H142" s="2"/>
      <c r="I142" s="2"/>
      <c r="J142">
        <f>I142 * VLOOKUP("proklim", inject!A:B, 2, FALSE)</f>
        <v>0</v>
      </c>
      <c r="K142" s="2"/>
      <c r="L142" s="2"/>
      <c r="M142">
        <f>L142 * VLOOKUP("proper", inject!A:B, 2, FALSE)</f>
        <v>0</v>
      </c>
      <c r="N142" s="2"/>
      <c r="O142" s="2"/>
      <c r="P142">
        <f>O142 * VLOOKUP("kaltaparu", inject!A:B, 2, FALSE)</f>
        <v>0</v>
      </c>
      <c r="Q142" s="2"/>
    </row>
    <row r="143" spans="1:17">
      <c r="A143">
        <v>142</v>
      </c>
      <c r="B143" t="s">
        <v>154</v>
      </c>
      <c r="C143" s="2"/>
      <c r="D143">
        <f>C143 * VLOOKUP("adipura", inject!A:B, 2, FALSE)</f>
        <v>0</v>
      </c>
      <c r="E143" s="2"/>
      <c r="F143" s="2"/>
      <c r="G143">
        <f>F143 * VLOOKUP("adiwiyata", inject!A:B, 2, FALSE)</f>
        <v>0</v>
      </c>
      <c r="H143" s="2"/>
      <c r="I143" s="2"/>
      <c r="J143">
        <f>I143 * VLOOKUP("proklim", inject!A:B, 2, FALSE)</f>
        <v>0</v>
      </c>
      <c r="K143" s="2"/>
      <c r="L143" s="2"/>
      <c r="M143">
        <f>L143 * VLOOKUP("proper", inject!A:B, 2, FALSE)</f>
        <v>0</v>
      </c>
      <c r="N143" s="2"/>
      <c r="O143" s="2"/>
      <c r="P143">
        <f>O143 * VLOOKUP("kaltaparu", inject!A:B, 2, FALSE)</f>
        <v>0</v>
      </c>
      <c r="Q143" s="2"/>
    </row>
    <row r="144" spans="1:17">
      <c r="A144">
        <v>143</v>
      </c>
      <c r="B144" t="s">
        <v>155</v>
      </c>
      <c r="C144" s="2"/>
      <c r="D144">
        <f>C144 * VLOOKUP("adipura", inject!A:B, 2, FALSE)</f>
        <v>0</v>
      </c>
      <c r="E144" s="2"/>
      <c r="F144" s="2"/>
      <c r="G144">
        <f>F144 * VLOOKUP("adiwiyata", inject!A:B, 2, FALSE)</f>
        <v>0</v>
      </c>
      <c r="H144" s="2"/>
      <c r="I144" s="2"/>
      <c r="J144">
        <f>I144 * VLOOKUP("proklim", inject!A:B, 2, FALSE)</f>
        <v>0</v>
      </c>
      <c r="K144" s="2"/>
      <c r="L144" s="2"/>
      <c r="M144">
        <f>L144 * VLOOKUP("proper", inject!A:B, 2, FALSE)</f>
        <v>0</v>
      </c>
      <c r="N144" s="2"/>
      <c r="O144" s="2"/>
      <c r="P144">
        <f>O144 * VLOOKUP("kaltaparu", inject!A:B, 2, FALSE)</f>
        <v>0</v>
      </c>
      <c r="Q144" s="2"/>
    </row>
    <row r="145" spans="1:17">
      <c r="A145">
        <v>144</v>
      </c>
      <c r="B145" t="s">
        <v>156</v>
      </c>
      <c r="C145" s="2"/>
      <c r="D145">
        <f>C145 * VLOOKUP("adipura", inject!A:B, 2, FALSE)</f>
        <v>0</v>
      </c>
      <c r="E145" s="2"/>
      <c r="F145" s="2"/>
      <c r="G145">
        <f>F145 * VLOOKUP("adiwiyata", inject!A:B, 2, FALSE)</f>
        <v>0</v>
      </c>
      <c r="H145" s="2"/>
      <c r="I145" s="2"/>
      <c r="J145">
        <f>I145 * VLOOKUP("proklim", inject!A:B, 2, FALSE)</f>
        <v>0</v>
      </c>
      <c r="K145" s="2"/>
      <c r="L145" s="2"/>
      <c r="M145">
        <f>L145 * VLOOKUP("proper", inject!A:B, 2, FALSE)</f>
        <v>0</v>
      </c>
      <c r="N145" s="2"/>
      <c r="O145" s="2"/>
      <c r="P145">
        <f>O145 * VLOOKUP("kaltaparu", inject!A:B, 2, FALSE)</f>
        <v>0</v>
      </c>
      <c r="Q145" s="2"/>
    </row>
    <row r="146" spans="1:17">
      <c r="A146">
        <v>145</v>
      </c>
      <c r="B146" t="s">
        <v>157</v>
      </c>
      <c r="C146" s="2"/>
      <c r="D146">
        <f>C146 * VLOOKUP("adipura", inject!A:B, 2, FALSE)</f>
        <v>0</v>
      </c>
      <c r="E146" s="2"/>
      <c r="F146" s="2"/>
      <c r="G146">
        <f>F146 * VLOOKUP("adiwiyata", inject!A:B, 2, FALSE)</f>
        <v>0</v>
      </c>
      <c r="H146" s="2"/>
      <c r="I146" s="2"/>
      <c r="J146">
        <f>I146 * VLOOKUP("proklim", inject!A:B, 2, FALSE)</f>
        <v>0</v>
      </c>
      <c r="K146" s="2"/>
      <c r="L146" s="2"/>
      <c r="M146">
        <f>L146 * VLOOKUP("proper", inject!A:B, 2, FALSE)</f>
        <v>0</v>
      </c>
      <c r="N146" s="2"/>
      <c r="O146" s="2"/>
      <c r="P146">
        <f>O146 * VLOOKUP("kaltaparu", inject!A:B, 2, FALSE)</f>
        <v>0</v>
      </c>
      <c r="Q146" s="2"/>
    </row>
    <row r="147" spans="1:17">
      <c r="A147">
        <v>146</v>
      </c>
      <c r="B147" t="s">
        <v>158</v>
      </c>
      <c r="C147" s="2"/>
      <c r="D147">
        <f>C147 * VLOOKUP("adipura", inject!A:B, 2, FALSE)</f>
        <v>0</v>
      </c>
      <c r="E147" s="2"/>
      <c r="F147" s="2"/>
      <c r="G147">
        <f>F147 * VLOOKUP("adiwiyata", inject!A:B, 2, FALSE)</f>
        <v>0</v>
      </c>
      <c r="H147" s="2"/>
      <c r="I147" s="2"/>
      <c r="J147">
        <f>I147 * VLOOKUP("proklim", inject!A:B, 2, FALSE)</f>
        <v>0</v>
      </c>
      <c r="K147" s="2"/>
      <c r="L147" s="2"/>
      <c r="M147">
        <f>L147 * VLOOKUP("proper", inject!A:B, 2, FALSE)</f>
        <v>0</v>
      </c>
      <c r="N147" s="2"/>
      <c r="O147" s="2"/>
      <c r="P147">
        <f>O147 * VLOOKUP("kaltaparu", inject!A:B, 2, FALSE)</f>
        <v>0</v>
      </c>
      <c r="Q147" s="2"/>
    </row>
    <row r="148" spans="1:17">
      <c r="A148">
        <v>147</v>
      </c>
      <c r="B148" t="s">
        <v>159</v>
      </c>
      <c r="C148" s="2"/>
      <c r="D148">
        <f>C148 * VLOOKUP("adipura", inject!A:B, 2, FALSE)</f>
        <v>0</v>
      </c>
      <c r="E148" s="2"/>
      <c r="F148" s="2"/>
      <c r="G148">
        <f>F148 * VLOOKUP("adiwiyata", inject!A:B, 2, FALSE)</f>
        <v>0</v>
      </c>
      <c r="H148" s="2"/>
      <c r="I148" s="2"/>
      <c r="J148">
        <f>I148 * VLOOKUP("proklim", inject!A:B, 2, FALSE)</f>
        <v>0</v>
      </c>
      <c r="K148" s="2"/>
      <c r="L148" s="2"/>
      <c r="M148">
        <f>L148 * VLOOKUP("proper", inject!A:B, 2, FALSE)</f>
        <v>0</v>
      </c>
      <c r="N148" s="2"/>
      <c r="O148" s="2"/>
      <c r="P148">
        <f>O148 * VLOOKUP("kaltaparu", inject!A:B, 2, FALSE)</f>
        <v>0</v>
      </c>
      <c r="Q148" s="2"/>
    </row>
    <row r="149" spans="1:17">
      <c r="A149">
        <v>148</v>
      </c>
      <c r="B149" t="s">
        <v>160</v>
      </c>
      <c r="C149" s="2"/>
      <c r="D149">
        <f>C149 * VLOOKUP("adipura", inject!A:B, 2, FALSE)</f>
        <v>0</v>
      </c>
      <c r="E149" s="2"/>
      <c r="F149" s="2"/>
      <c r="G149">
        <f>F149 * VLOOKUP("adiwiyata", inject!A:B, 2, FALSE)</f>
        <v>0</v>
      </c>
      <c r="H149" s="2"/>
      <c r="I149" s="2"/>
      <c r="J149">
        <f>I149 * VLOOKUP("proklim", inject!A:B, 2, FALSE)</f>
        <v>0</v>
      </c>
      <c r="K149" s="2"/>
      <c r="L149" s="2"/>
      <c r="M149">
        <f>L149 * VLOOKUP("proper", inject!A:B, 2, FALSE)</f>
        <v>0</v>
      </c>
      <c r="N149" s="2"/>
      <c r="O149" s="2"/>
      <c r="P149">
        <f>O149 * VLOOKUP("kaltaparu", inject!A:B, 2, FALSE)</f>
        <v>0</v>
      </c>
      <c r="Q149" s="2"/>
    </row>
    <row r="150" spans="1:17">
      <c r="A150">
        <v>149</v>
      </c>
      <c r="B150" t="s">
        <v>161</v>
      </c>
      <c r="C150" s="2"/>
      <c r="D150">
        <f>C150 * VLOOKUP("adipura", inject!A:B, 2, FALSE)</f>
        <v>0</v>
      </c>
      <c r="E150" s="2"/>
      <c r="F150" s="2"/>
      <c r="G150">
        <f>F150 * VLOOKUP("adiwiyata", inject!A:B, 2, FALSE)</f>
        <v>0</v>
      </c>
      <c r="H150" s="2"/>
      <c r="I150" s="2"/>
      <c r="J150">
        <f>I150 * VLOOKUP("proklim", inject!A:B, 2, FALSE)</f>
        <v>0</v>
      </c>
      <c r="K150" s="2"/>
      <c r="L150" s="2"/>
      <c r="M150">
        <f>L150 * VLOOKUP("proper", inject!A:B, 2, FALSE)</f>
        <v>0</v>
      </c>
      <c r="N150" s="2"/>
      <c r="O150" s="2"/>
      <c r="P150">
        <f>O150 * VLOOKUP("kaltaparu", inject!A:B, 2, FALSE)</f>
        <v>0</v>
      </c>
      <c r="Q150" s="2"/>
    </row>
    <row r="151" spans="1:17">
      <c r="A151">
        <v>150</v>
      </c>
      <c r="B151" t="s">
        <v>162</v>
      </c>
      <c r="C151" s="2"/>
      <c r="D151">
        <f>C151 * VLOOKUP("adipura", inject!A:B, 2, FALSE)</f>
        <v>0</v>
      </c>
      <c r="E151" s="2"/>
      <c r="F151" s="2"/>
      <c r="G151">
        <f>F151 * VLOOKUP("adiwiyata", inject!A:B, 2, FALSE)</f>
        <v>0</v>
      </c>
      <c r="H151" s="2"/>
      <c r="I151" s="2"/>
      <c r="J151">
        <f>I151 * VLOOKUP("proklim", inject!A:B, 2, FALSE)</f>
        <v>0</v>
      </c>
      <c r="K151" s="2"/>
      <c r="L151" s="2"/>
      <c r="M151">
        <f>L151 * VLOOKUP("proper", inject!A:B, 2, FALSE)</f>
        <v>0</v>
      </c>
      <c r="N151" s="2"/>
      <c r="O151" s="2"/>
      <c r="P151">
        <f>O151 * VLOOKUP("kaltaparu", inject!A:B, 2, FALSE)</f>
        <v>0</v>
      </c>
      <c r="Q151" s="2"/>
    </row>
    <row r="152" spans="1:17">
      <c r="A152">
        <v>151</v>
      </c>
      <c r="B152" t="s">
        <v>163</v>
      </c>
      <c r="C152" s="2"/>
      <c r="D152">
        <f>C152 * VLOOKUP("adipura", inject!A:B, 2, FALSE)</f>
        <v>0</v>
      </c>
      <c r="E152" s="2"/>
      <c r="F152" s="2"/>
      <c r="G152">
        <f>F152 * VLOOKUP("adiwiyata", inject!A:B, 2, FALSE)</f>
        <v>0</v>
      </c>
      <c r="H152" s="2"/>
      <c r="I152" s="2"/>
      <c r="J152">
        <f>I152 * VLOOKUP("proklim", inject!A:B, 2, FALSE)</f>
        <v>0</v>
      </c>
      <c r="K152" s="2"/>
      <c r="L152" s="2"/>
      <c r="M152">
        <f>L152 * VLOOKUP("proper", inject!A:B, 2, FALSE)</f>
        <v>0</v>
      </c>
      <c r="N152" s="2"/>
      <c r="O152" s="2"/>
      <c r="P152">
        <f>O152 * VLOOKUP("kaltaparu", inject!A:B, 2, FALSE)</f>
        <v>0</v>
      </c>
      <c r="Q152" s="2"/>
    </row>
    <row r="153" spans="1:17">
      <c r="A153">
        <v>152</v>
      </c>
      <c r="B153" t="s">
        <v>164</v>
      </c>
      <c r="C153" s="2"/>
      <c r="D153">
        <f>C153 * VLOOKUP("adipura", inject!A:B, 2, FALSE)</f>
        <v>0</v>
      </c>
      <c r="E153" s="2"/>
      <c r="F153" s="2"/>
      <c r="G153">
        <f>F153 * VLOOKUP("adiwiyata", inject!A:B, 2, FALSE)</f>
        <v>0</v>
      </c>
      <c r="H153" s="2"/>
      <c r="I153" s="2"/>
      <c r="J153">
        <f>I153 * VLOOKUP("proklim", inject!A:B, 2, FALSE)</f>
        <v>0</v>
      </c>
      <c r="K153" s="2"/>
      <c r="L153" s="2"/>
      <c r="M153">
        <f>L153 * VLOOKUP("proper", inject!A:B, 2, FALSE)</f>
        <v>0</v>
      </c>
      <c r="N153" s="2"/>
      <c r="O153" s="2"/>
      <c r="P153">
        <f>O153 * VLOOKUP("kaltaparu", inject!A:B, 2, FALSE)</f>
        <v>0</v>
      </c>
      <c r="Q153" s="2"/>
    </row>
    <row r="154" spans="1:17">
      <c r="A154">
        <v>153</v>
      </c>
      <c r="B154" t="s">
        <v>165</v>
      </c>
      <c r="C154" s="2"/>
      <c r="D154">
        <f>C154 * VLOOKUP("adipura", inject!A:B, 2, FALSE)</f>
        <v>0</v>
      </c>
      <c r="E154" s="2"/>
      <c r="F154" s="2"/>
      <c r="G154">
        <f>F154 * VLOOKUP("adiwiyata", inject!A:B, 2, FALSE)</f>
        <v>0</v>
      </c>
      <c r="H154" s="2"/>
      <c r="I154" s="2"/>
      <c r="J154">
        <f>I154 * VLOOKUP("proklim", inject!A:B, 2, FALSE)</f>
        <v>0</v>
      </c>
      <c r="K154" s="2"/>
      <c r="L154" s="2"/>
      <c r="M154">
        <f>L154 * VLOOKUP("proper", inject!A:B, 2, FALSE)</f>
        <v>0</v>
      </c>
      <c r="N154" s="2"/>
      <c r="O154" s="2"/>
      <c r="P154">
        <f>O154 * VLOOKUP("kaltaparu", inject!A:B, 2, FALSE)</f>
        <v>0</v>
      </c>
      <c r="Q154" s="2"/>
    </row>
    <row r="155" spans="1:17">
      <c r="A155">
        <v>154</v>
      </c>
      <c r="B155" t="s">
        <v>166</v>
      </c>
      <c r="C155" s="2"/>
      <c r="D155">
        <f>C155 * VLOOKUP("adipura", inject!A:B, 2, FALSE)</f>
        <v>0</v>
      </c>
      <c r="E155" s="2"/>
      <c r="F155" s="2"/>
      <c r="G155">
        <f>F155 * VLOOKUP("adiwiyata", inject!A:B, 2, FALSE)</f>
        <v>0</v>
      </c>
      <c r="H155" s="2"/>
      <c r="I155" s="2"/>
      <c r="J155">
        <f>I155 * VLOOKUP("proklim", inject!A:B, 2, FALSE)</f>
        <v>0</v>
      </c>
      <c r="K155" s="2"/>
      <c r="L155" s="2"/>
      <c r="M155">
        <f>L155 * VLOOKUP("proper", inject!A:B, 2, FALSE)</f>
        <v>0</v>
      </c>
      <c r="N155" s="2"/>
      <c r="O155" s="2"/>
      <c r="P155">
        <f>O155 * VLOOKUP("kaltaparu", inject!A:B, 2, FALSE)</f>
        <v>0</v>
      </c>
      <c r="Q155" s="2"/>
    </row>
    <row r="156" spans="1:17">
      <c r="A156">
        <v>155</v>
      </c>
      <c r="B156" t="s">
        <v>167</v>
      </c>
      <c r="C156" s="2"/>
      <c r="D156">
        <f>C156 * VLOOKUP("adipura", inject!A:B, 2, FALSE)</f>
        <v>0</v>
      </c>
      <c r="E156" s="2"/>
      <c r="F156" s="2"/>
      <c r="G156">
        <f>F156 * VLOOKUP("adiwiyata", inject!A:B, 2, FALSE)</f>
        <v>0</v>
      </c>
      <c r="H156" s="2"/>
      <c r="I156" s="2"/>
      <c r="J156">
        <f>I156 * VLOOKUP("proklim", inject!A:B, 2, FALSE)</f>
        <v>0</v>
      </c>
      <c r="K156" s="2"/>
      <c r="L156" s="2"/>
      <c r="M156">
        <f>L156 * VLOOKUP("proper", inject!A:B, 2, FALSE)</f>
        <v>0</v>
      </c>
      <c r="N156" s="2"/>
      <c r="O156" s="2"/>
      <c r="P156">
        <f>O156 * VLOOKUP("kaltaparu", inject!A:B, 2, FALSE)</f>
        <v>0</v>
      </c>
      <c r="Q156" s="2"/>
    </row>
    <row r="157" spans="1:17">
      <c r="A157">
        <v>156</v>
      </c>
      <c r="B157" t="s">
        <v>168</v>
      </c>
      <c r="C157" s="2"/>
      <c r="D157">
        <f>C157 * VLOOKUP("adipura", inject!A:B, 2, FALSE)</f>
        <v>0</v>
      </c>
      <c r="E157" s="2"/>
      <c r="F157" s="2"/>
      <c r="G157">
        <f>F157 * VLOOKUP("adiwiyata", inject!A:B, 2, FALSE)</f>
        <v>0</v>
      </c>
      <c r="H157" s="2"/>
      <c r="I157" s="2"/>
      <c r="J157">
        <f>I157 * VLOOKUP("proklim", inject!A:B, 2, FALSE)</f>
        <v>0</v>
      </c>
      <c r="K157" s="2"/>
      <c r="L157" s="2"/>
      <c r="M157">
        <f>L157 * VLOOKUP("proper", inject!A:B, 2, FALSE)</f>
        <v>0</v>
      </c>
      <c r="N157" s="2"/>
      <c r="O157" s="2"/>
      <c r="P157">
        <f>O157 * VLOOKUP("kaltaparu", inject!A:B, 2, FALSE)</f>
        <v>0</v>
      </c>
      <c r="Q157" s="2"/>
    </row>
    <row r="158" spans="1:17">
      <c r="A158">
        <v>157</v>
      </c>
      <c r="B158" t="s">
        <v>169</v>
      </c>
      <c r="C158" s="2"/>
      <c r="D158">
        <f>C158 * VLOOKUP("adipura", inject!A:B, 2, FALSE)</f>
        <v>0</v>
      </c>
      <c r="E158" s="2"/>
      <c r="F158" s="2"/>
      <c r="G158">
        <f>F158 * VLOOKUP("adiwiyata", inject!A:B, 2, FALSE)</f>
        <v>0</v>
      </c>
      <c r="H158" s="2"/>
      <c r="I158" s="2"/>
      <c r="J158">
        <f>I158 * VLOOKUP("proklim", inject!A:B, 2, FALSE)</f>
        <v>0</v>
      </c>
      <c r="K158" s="2"/>
      <c r="L158" s="2"/>
      <c r="M158">
        <f>L158 * VLOOKUP("proper", inject!A:B, 2, FALSE)</f>
        <v>0</v>
      </c>
      <c r="N158" s="2"/>
      <c r="O158" s="2"/>
      <c r="P158">
        <f>O158 * VLOOKUP("kaltaparu", inject!A:B, 2, FALSE)</f>
        <v>0</v>
      </c>
      <c r="Q158" s="2"/>
    </row>
    <row r="159" spans="1:17">
      <c r="A159">
        <v>158</v>
      </c>
      <c r="B159" t="s">
        <v>170</v>
      </c>
      <c r="C159" s="2"/>
      <c r="D159">
        <f>C159 * VLOOKUP("adipura", inject!A:B, 2, FALSE)</f>
        <v>0</v>
      </c>
      <c r="E159" s="2"/>
      <c r="F159" s="2"/>
      <c r="G159">
        <f>F159 * VLOOKUP("adiwiyata", inject!A:B, 2, FALSE)</f>
        <v>0</v>
      </c>
      <c r="H159" s="2"/>
      <c r="I159" s="2"/>
      <c r="J159">
        <f>I159 * VLOOKUP("proklim", inject!A:B, 2, FALSE)</f>
        <v>0</v>
      </c>
      <c r="K159" s="2"/>
      <c r="L159" s="2"/>
      <c r="M159">
        <f>L159 * VLOOKUP("proper", inject!A:B, 2, FALSE)</f>
        <v>0</v>
      </c>
      <c r="N159" s="2"/>
      <c r="O159" s="2"/>
      <c r="P159">
        <f>O159 * VLOOKUP("kaltaparu", inject!A:B, 2, FALSE)</f>
        <v>0</v>
      </c>
      <c r="Q159" s="2"/>
    </row>
    <row r="160" spans="1:17">
      <c r="A160">
        <v>159</v>
      </c>
      <c r="B160" t="s">
        <v>171</v>
      </c>
      <c r="C160" s="2"/>
      <c r="D160">
        <f>C160 * VLOOKUP("adipura", inject!A:B, 2, FALSE)</f>
        <v>0</v>
      </c>
      <c r="E160" s="2"/>
      <c r="F160" s="2"/>
      <c r="G160">
        <f>F160 * VLOOKUP("adiwiyata", inject!A:B, 2, FALSE)</f>
        <v>0</v>
      </c>
      <c r="H160" s="2"/>
      <c r="I160" s="2"/>
      <c r="J160">
        <f>I160 * VLOOKUP("proklim", inject!A:B, 2, FALSE)</f>
        <v>0</v>
      </c>
      <c r="K160" s="2"/>
      <c r="L160" s="2"/>
      <c r="M160">
        <f>L160 * VLOOKUP("proper", inject!A:B, 2, FALSE)</f>
        <v>0</v>
      </c>
      <c r="N160" s="2"/>
      <c r="O160" s="2"/>
      <c r="P160">
        <f>O160 * VLOOKUP("kaltaparu", inject!A:B, 2, FALSE)</f>
        <v>0</v>
      </c>
      <c r="Q160" s="2"/>
    </row>
    <row r="161" spans="1:17">
      <c r="A161">
        <v>160</v>
      </c>
      <c r="B161" t="s">
        <v>172</v>
      </c>
      <c r="C161" s="2"/>
      <c r="D161">
        <f>C161 * VLOOKUP("adipura", inject!A:B, 2, FALSE)</f>
        <v>0</v>
      </c>
      <c r="E161" s="2"/>
      <c r="F161" s="2"/>
      <c r="G161">
        <f>F161 * VLOOKUP("adiwiyata", inject!A:B, 2, FALSE)</f>
        <v>0</v>
      </c>
      <c r="H161" s="2"/>
      <c r="I161" s="2"/>
      <c r="J161">
        <f>I161 * VLOOKUP("proklim", inject!A:B, 2, FALSE)</f>
        <v>0</v>
      </c>
      <c r="K161" s="2"/>
      <c r="L161" s="2"/>
      <c r="M161">
        <f>L161 * VLOOKUP("proper", inject!A:B, 2, FALSE)</f>
        <v>0</v>
      </c>
      <c r="N161" s="2"/>
      <c r="O161" s="2"/>
      <c r="P161">
        <f>O161 * VLOOKUP("kaltaparu", inject!A:B, 2, FALSE)</f>
        <v>0</v>
      </c>
      <c r="Q161" s="2"/>
    </row>
    <row r="162" spans="1:17">
      <c r="A162">
        <v>161</v>
      </c>
      <c r="B162" t="s">
        <v>173</v>
      </c>
      <c r="C162" s="2"/>
      <c r="D162">
        <f>C162 * VLOOKUP("adipura", inject!A:B, 2, FALSE)</f>
        <v>0</v>
      </c>
      <c r="E162" s="2"/>
      <c r="F162" s="2"/>
      <c r="G162">
        <f>F162 * VLOOKUP("adiwiyata", inject!A:B, 2, FALSE)</f>
        <v>0</v>
      </c>
      <c r="H162" s="2"/>
      <c r="I162" s="2"/>
      <c r="J162">
        <f>I162 * VLOOKUP("proklim", inject!A:B, 2, FALSE)</f>
        <v>0</v>
      </c>
      <c r="K162" s="2"/>
      <c r="L162" s="2"/>
      <c r="M162">
        <f>L162 * VLOOKUP("proper", inject!A:B, 2, FALSE)</f>
        <v>0</v>
      </c>
      <c r="N162" s="2"/>
      <c r="O162" s="2"/>
      <c r="P162">
        <f>O162 * VLOOKUP("kaltaparu", inject!A:B, 2, FALSE)</f>
        <v>0</v>
      </c>
      <c r="Q162" s="2"/>
    </row>
    <row r="163" spans="1:17">
      <c r="A163">
        <v>162</v>
      </c>
      <c r="B163" t="s">
        <v>174</v>
      </c>
      <c r="C163" s="2"/>
      <c r="D163">
        <f>C163 * VLOOKUP("adipura", inject!A:B, 2, FALSE)</f>
        <v>0</v>
      </c>
      <c r="E163" s="2"/>
      <c r="F163" s="2"/>
      <c r="G163">
        <f>F163 * VLOOKUP("adiwiyata", inject!A:B, 2, FALSE)</f>
        <v>0</v>
      </c>
      <c r="H163" s="2"/>
      <c r="I163" s="2"/>
      <c r="J163">
        <f>I163 * VLOOKUP("proklim", inject!A:B, 2, FALSE)</f>
        <v>0</v>
      </c>
      <c r="K163" s="2"/>
      <c r="L163" s="2"/>
      <c r="M163">
        <f>L163 * VLOOKUP("proper", inject!A:B, 2, FALSE)</f>
        <v>0</v>
      </c>
      <c r="N163" s="2"/>
      <c r="O163" s="2"/>
      <c r="P163">
        <f>O163 * VLOOKUP("kaltaparu", inject!A:B, 2, FALSE)</f>
        <v>0</v>
      </c>
      <c r="Q163" s="2"/>
    </row>
    <row r="164" spans="1:17">
      <c r="A164">
        <v>163</v>
      </c>
      <c r="B164" t="s">
        <v>175</v>
      </c>
      <c r="C164" s="2"/>
      <c r="D164">
        <f>C164 * VLOOKUP("adipura", inject!A:B, 2, FALSE)</f>
        <v>0</v>
      </c>
      <c r="E164" s="2"/>
      <c r="F164" s="2"/>
      <c r="G164">
        <f>F164 * VLOOKUP("adiwiyata", inject!A:B, 2, FALSE)</f>
        <v>0</v>
      </c>
      <c r="H164" s="2"/>
      <c r="I164" s="2"/>
      <c r="J164">
        <f>I164 * VLOOKUP("proklim", inject!A:B, 2, FALSE)</f>
        <v>0</v>
      </c>
      <c r="K164" s="2"/>
      <c r="L164" s="2"/>
      <c r="M164">
        <f>L164 * VLOOKUP("proper", inject!A:B, 2, FALSE)</f>
        <v>0</v>
      </c>
      <c r="N164" s="2"/>
      <c r="O164" s="2"/>
      <c r="P164">
        <f>O164 * VLOOKUP("kaltaparu", inject!A:B, 2, FALSE)</f>
        <v>0</v>
      </c>
      <c r="Q164" s="2"/>
    </row>
    <row r="165" spans="1:17">
      <c r="A165">
        <v>164</v>
      </c>
      <c r="B165" t="s">
        <v>176</v>
      </c>
      <c r="C165" s="2"/>
      <c r="D165">
        <f>C165 * VLOOKUP("adipura", inject!A:B, 2, FALSE)</f>
        <v>0</v>
      </c>
      <c r="E165" s="2"/>
      <c r="F165" s="2"/>
      <c r="G165">
        <f>F165 * VLOOKUP("adiwiyata", inject!A:B, 2, FALSE)</f>
        <v>0</v>
      </c>
      <c r="H165" s="2"/>
      <c r="I165" s="2"/>
      <c r="J165">
        <f>I165 * VLOOKUP("proklim", inject!A:B, 2, FALSE)</f>
        <v>0</v>
      </c>
      <c r="K165" s="2"/>
      <c r="L165" s="2"/>
      <c r="M165">
        <f>L165 * VLOOKUP("proper", inject!A:B, 2, FALSE)</f>
        <v>0</v>
      </c>
      <c r="N165" s="2"/>
      <c r="O165" s="2"/>
      <c r="P165">
        <f>O165 * VLOOKUP("kaltaparu", inject!A:B, 2, FALSE)</f>
        <v>0</v>
      </c>
      <c r="Q165" s="2"/>
    </row>
    <row r="166" spans="1:17">
      <c r="A166">
        <v>165</v>
      </c>
      <c r="B166" t="s">
        <v>177</v>
      </c>
      <c r="C166" s="2"/>
      <c r="D166">
        <f>C166 * VLOOKUP("adipura", inject!A:B, 2, FALSE)</f>
        <v>0</v>
      </c>
      <c r="E166" s="2"/>
      <c r="F166" s="2"/>
      <c r="G166">
        <f>F166 * VLOOKUP("adiwiyata", inject!A:B, 2, FALSE)</f>
        <v>0</v>
      </c>
      <c r="H166" s="2"/>
      <c r="I166" s="2"/>
      <c r="J166">
        <f>I166 * VLOOKUP("proklim", inject!A:B, 2, FALSE)</f>
        <v>0</v>
      </c>
      <c r="K166" s="2"/>
      <c r="L166" s="2"/>
      <c r="M166">
        <f>L166 * VLOOKUP("proper", inject!A:B, 2, FALSE)</f>
        <v>0</v>
      </c>
      <c r="N166" s="2"/>
      <c r="O166" s="2"/>
      <c r="P166">
        <f>O166 * VLOOKUP("kaltaparu", inject!A:B, 2, FALSE)</f>
        <v>0</v>
      </c>
      <c r="Q166" s="2"/>
    </row>
    <row r="167" spans="1:17">
      <c r="A167">
        <v>166</v>
      </c>
      <c r="B167" t="s">
        <v>178</v>
      </c>
      <c r="C167" s="2"/>
      <c r="D167">
        <f>C167 * VLOOKUP("adipura", inject!A:B, 2, FALSE)</f>
        <v>0</v>
      </c>
      <c r="E167" s="2"/>
      <c r="F167" s="2"/>
      <c r="G167">
        <f>F167 * VLOOKUP("adiwiyata", inject!A:B, 2, FALSE)</f>
        <v>0</v>
      </c>
      <c r="H167" s="2"/>
      <c r="I167" s="2"/>
      <c r="J167">
        <f>I167 * VLOOKUP("proklim", inject!A:B, 2, FALSE)</f>
        <v>0</v>
      </c>
      <c r="K167" s="2"/>
      <c r="L167" s="2"/>
      <c r="M167">
        <f>L167 * VLOOKUP("proper", inject!A:B, 2, FALSE)</f>
        <v>0</v>
      </c>
      <c r="N167" s="2"/>
      <c r="O167" s="2"/>
      <c r="P167">
        <f>O167 * VLOOKUP("kaltaparu", inject!A:B, 2, FALSE)</f>
        <v>0</v>
      </c>
      <c r="Q167" s="2"/>
    </row>
    <row r="168" spans="1:17">
      <c r="A168">
        <v>167</v>
      </c>
      <c r="B168" t="s">
        <v>179</v>
      </c>
      <c r="C168" s="2"/>
      <c r="D168">
        <f>C168 * VLOOKUP("adipura", inject!A:B, 2, FALSE)</f>
        <v>0</v>
      </c>
      <c r="E168" s="2"/>
      <c r="F168" s="2"/>
      <c r="G168">
        <f>F168 * VLOOKUP("adiwiyata", inject!A:B, 2, FALSE)</f>
        <v>0</v>
      </c>
      <c r="H168" s="2"/>
      <c r="I168" s="2"/>
      <c r="J168">
        <f>I168 * VLOOKUP("proklim", inject!A:B, 2, FALSE)</f>
        <v>0</v>
      </c>
      <c r="K168" s="2"/>
      <c r="L168" s="2"/>
      <c r="M168">
        <f>L168 * VLOOKUP("proper", inject!A:B, 2, FALSE)</f>
        <v>0</v>
      </c>
      <c r="N168" s="2"/>
      <c r="O168" s="2"/>
      <c r="P168">
        <f>O168 * VLOOKUP("kaltaparu", inject!A:B, 2, FALSE)</f>
        <v>0</v>
      </c>
      <c r="Q168" s="2"/>
    </row>
    <row r="169" spans="1:17">
      <c r="A169">
        <v>168</v>
      </c>
      <c r="B169" t="s">
        <v>180</v>
      </c>
      <c r="C169" s="2"/>
      <c r="D169">
        <f>C169 * VLOOKUP("adipura", inject!A:B, 2, FALSE)</f>
        <v>0</v>
      </c>
      <c r="E169" s="2"/>
      <c r="F169" s="2"/>
      <c r="G169">
        <f>F169 * VLOOKUP("adiwiyata", inject!A:B, 2, FALSE)</f>
        <v>0</v>
      </c>
      <c r="H169" s="2"/>
      <c r="I169" s="2"/>
      <c r="J169">
        <f>I169 * VLOOKUP("proklim", inject!A:B, 2, FALSE)</f>
        <v>0</v>
      </c>
      <c r="K169" s="2"/>
      <c r="L169" s="2"/>
      <c r="M169">
        <f>L169 * VLOOKUP("proper", inject!A:B, 2, FALSE)</f>
        <v>0</v>
      </c>
      <c r="N169" s="2"/>
      <c r="O169" s="2"/>
      <c r="P169">
        <f>O169 * VLOOKUP("kaltaparu", inject!A:B, 2, FALSE)</f>
        <v>0</v>
      </c>
      <c r="Q169" s="2"/>
    </row>
    <row r="170" spans="1:17">
      <c r="A170">
        <v>169</v>
      </c>
      <c r="B170" t="s">
        <v>181</v>
      </c>
      <c r="C170" s="2"/>
      <c r="D170">
        <f>C170 * VLOOKUP("adipura", inject!A:B, 2, FALSE)</f>
        <v>0</v>
      </c>
      <c r="E170" s="2"/>
      <c r="F170" s="2"/>
      <c r="G170">
        <f>F170 * VLOOKUP("adiwiyata", inject!A:B, 2, FALSE)</f>
        <v>0</v>
      </c>
      <c r="H170" s="2"/>
      <c r="I170" s="2"/>
      <c r="J170">
        <f>I170 * VLOOKUP("proklim", inject!A:B, 2, FALSE)</f>
        <v>0</v>
      </c>
      <c r="K170" s="2"/>
      <c r="L170" s="2"/>
      <c r="M170">
        <f>L170 * VLOOKUP("proper", inject!A:B, 2, FALSE)</f>
        <v>0</v>
      </c>
      <c r="N170" s="2"/>
      <c r="O170" s="2"/>
      <c r="P170">
        <f>O170 * VLOOKUP("kaltaparu", inject!A:B, 2, FALSE)</f>
        <v>0</v>
      </c>
      <c r="Q170" s="2"/>
    </row>
    <row r="171" spans="1:17">
      <c r="A171">
        <v>170</v>
      </c>
      <c r="B171" t="s">
        <v>182</v>
      </c>
      <c r="C171" s="2"/>
      <c r="D171">
        <f>C171 * VLOOKUP("adipura", inject!A:B, 2, FALSE)</f>
        <v>0</v>
      </c>
      <c r="E171" s="2"/>
      <c r="F171" s="2"/>
      <c r="G171">
        <f>F171 * VLOOKUP("adiwiyata", inject!A:B, 2, FALSE)</f>
        <v>0</v>
      </c>
      <c r="H171" s="2"/>
      <c r="I171" s="2"/>
      <c r="J171">
        <f>I171 * VLOOKUP("proklim", inject!A:B, 2, FALSE)</f>
        <v>0</v>
      </c>
      <c r="K171" s="2"/>
      <c r="L171" s="2"/>
      <c r="M171">
        <f>L171 * VLOOKUP("proper", inject!A:B, 2, FALSE)</f>
        <v>0</v>
      </c>
      <c r="N171" s="2"/>
      <c r="O171" s="2"/>
      <c r="P171">
        <f>O171 * VLOOKUP("kaltaparu", inject!A:B, 2, FALSE)</f>
        <v>0</v>
      </c>
      <c r="Q171" s="2"/>
    </row>
    <row r="172" spans="1:17">
      <c r="A172">
        <v>171</v>
      </c>
      <c r="B172" t="s">
        <v>183</v>
      </c>
      <c r="C172" s="2"/>
      <c r="D172">
        <f>C172 * VLOOKUP("adipura", inject!A:B, 2, FALSE)</f>
        <v>0</v>
      </c>
      <c r="E172" s="2"/>
      <c r="F172" s="2"/>
      <c r="G172">
        <f>F172 * VLOOKUP("adiwiyata", inject!A:B, 2, FALSE)</f>
        <v>0</v>
      </c>
      <c r="H172" s="2"/>
      <c r="I172" s="2"/>
      <c r="J172">
        <f>I172 * VLOOKUP("proklim", inject!A:B, 2, FALSE)</f>
        <v>0</v>
      </c>
      <c r="K172" s="2"/>
      <c r="L172" s="2"/>
      <c r="M172">
        <f>L172 * VLOOKUP("proper", inject!A:B, 2, FALSE)</f>
        <v>0</v>
      </c>
      <c r="N172" s="2"/>
      <c r="O172" s="2"/>
      <c r="P172">
        <f>O172 * VLOOKUP("kaltaparu", inject!A:B, 2, FALSE)</f>
        <v>0</v>
      </c>
      <c r="Q172" s="2"/>
    </row>
    <row r="173" spans="1:17">
      <c r="A173">
        <v>172</v>
      </c>
      <c r="B173" t="s">
        <v>184</v>
      </c>
      <c r="C173" s="2"/>
      <c r="D173">
        <f>C173 * VLOOKUP("adipura", inject!A:B, 2, FALSE)</f>
        <v>0</v>
      </c>
      <c r="E173" s="2"/>
      <c r="F173" s="2"/>
      <c r="G173">
        <f>F173 * VLOOKUP("adiwiyata", inject!A:B, 2, FALSE)</f>
        <v>0</v>
      </c>
      <c r="H173" s="2"/>
      <c r="I173" s="2"/>
      <c r="J173">
        <f>I173 * VLOOKUP("proklim", inject!A:B, 2, FALSE)</f>
        <v>0</v>
      </c>
      <c r="K173" s="2"/>
      <c r="L173" s="2"/>
      <c r="M173">
        <f>L173 * VLOOKUP("proper", inject!A:B, 2, FALSE)</f>
        <v>0</v>
      </c>
      <c r="N173" s="2"/>
      <c r="O173" s="2"/>
      <c r="P173">
        <f>O173 * VLOOKUP("kaltaparu", inject!A:B, 2, FALSE)</f>
        <v>0</v>
      </c>
      <c r="Q173" s="2"/>
    </row>
    <row r="174" spans="1:17">
      <c r="A174">
        <v>173</v>
      </c>
      <c r="B174" t="s">
        <v>185</v>
      </c>
      <c r="C174" s="2"/>
      <c r="D174">
        <f>C174 * VLOOKUP("adipura", inject!A:B, 2, FALSE)</f>
        <v>0</v>
      </c>
      <c r="E174" s="2"/>
      <c r="F174" s="2"/>
      <c r="G174">
        <f>F174 * VLOOKUP("adiwiyata", inject!A:B, 2, FALSE)</f>
        <v>0</v>
      </c>
      <c r="H174" s="2"/>
      <c r="I174" s="2"/>
      <c r="J174">
        <f>I174 * VLOOKUP("proklim", inject!A:B, 2, FALSE)</f>
        <v>0</v>
      </c>
      <c r="K174" s="2"/>
      <c r="L174" s="2"/>
      <c r="M174">
        <f>L174 * VLOOKUP("proper", inject!A:B, 2, FALSE)</f>
        <v>0</v>
      </c>
      <c r="N174" s="2"/>
      <c r="O174" s="2"/>
      <c r="P174">
        <f>O174 * VLOOKUP("kaltaparu", inject!A:B, 2, FALSE)</f>
        <v>0</v>
      </c>
      <c r="Q174" s="2"/>
    </row>
    <row r="175" spans="1:17">
      <c r="A175">
        <v>174</v>
      </c>
      <c r="B175" t="s">
        <v>186</v>
      </c>
      <c r="C175" s="2"/>
      <c r="D175">
        <f>C175 * VLOOKUP("adipura", inject!A:B, 2, FALSE)</f>
        <v>0</v>
      </c>
      <c r="E175" s="2"/>
      <c r="F175" s="2"/>
      <c r="G175">
        <f>F175 * VLOOKUP("adiwiyata", inject!A:B, 2, FALSE)</f>
        <v>0</v>
      </c>
      <c r="H175" s="2"/>
      <c r="I175" s="2"/>
      <c r="J175">
        <f>I175 * VLOOKUP("proklim", inject!A:B, 2, FALSE)</f>
        <v>0</v>
      </c>
      <c r="K175" s="2"/>
      <c r="L175" s="2"/>
      <c r="M175">
        <f>L175 * VLOOKUP("proper", inject!A:B, 2, FALSE)</f>
        <v>0</v>
      </c>
      <c r="N175" s="2"/>
      <c r="O175" s="2"/>
      <c r="P175">
        <f>O175 * VLOOKUP("kaltaparu", inject!A:B, 2, FALSE)</f>
        <v>0</v>
      </c>
      <c r="Q175" s="2"/>
    </row>
    <row r="176" spans="1:17">
      <c r="A176">
        <v>175</v>
      </c>
      <c r="B176" t="s">
        <v>187</v>
      </c>
      <c r="C176" s="2"/>
      <c r="D176">
        <f>C176 * VLOOKUP("adipura", inject!A:B, 2, FALSE)</f>
        <v>0</v>
      </c>
      <c r="E176" s="2"/>
      <c r="F176" s="2"/>
      <c r="G176">
        <f>F176 * VLOOKUP("adiwiyata", inject!A:B, 2, FALSE)</f>
        <v>0</v>
      </c>
      <c r="H176" s="2"/>
      <c r="I176" s="2"/>
      <c r="J176">
        <f>I176 * VLOOKUP("proklim", inject!A:B, 2, FALSE)</f>
        <v>0</v>
      </c>
      <c r="K176" s="2"/>
      <c r="L176" s="2"/>
      <c r="M176">
        <f>L176 * VLOOKUP("proper", inject!A:B, 2, FALSE)</f>
        <v>0</v>
      </c>
      <c r="N176" s="2"/>
      <c r="O176" s="2"/>
      <c r="P176">
        <f>O176 * VLOOKUP("kaltaparu", inject!A:B, 2, FALSE)</f>
        <v>0</v>
      </c>
      <c r="Q176" s="2"/>
    </row>
    <row r="177" spans="1:17">
      <c r="A177">
        <v>176</v>
      </c>
      <c r="B177" t="s">
        <v>188</v>
      </c>
      <c r="C177" s="2"/>
      <c r="D177">
        <f>C177 * VLOOKUP("adipura", inject!A:B, 2, FALSE)</f>
        <v>0</v>
      </c>
      <c r="E177" s="2"/>
      <c r="F177" s="2"/>
      <c r="G177">
        <f>F177 * VLOOKUP("adiwiyata", inject!A:B, 2, FALSE)</f>
        <v>0</v>
      </c>
      <c r="H177" s="2"/>
      <c r="I177" s="2"/>
      <c r="J177">
        <f>I177 * VLOOKUP("proklim", inject!A:B, 2, FALSE)</f>
        <v>0</v>
      </c>
      <c r="K177" s="2"/>
      <c r="L177" s="2"/>
      <c r="M177">
        <f>L177 * VLOOKUP("proper", inject!A:B, 2, FALSE)</f>
        <v>0</v>
      </c>
      <c r="N177" s="2"/>
      <c r="O177" s="2"/>
      <c r="P177">
        <f>O177 * VLOOKUP("kaltaparu", inject!A:B, 2, FALSE)</f>
        <v>0</v>
      </c>
      <c r="Q177" s="2"/>
    </row>
    <row r="178" spans="1:17">
      <c r="A178">
        <v>177</v>
      </c>
      <c r="B178" t="s">
        <v>189</v>
      </c>
      <c r="C178" s="2"/>
      <c r="D178">
        <f>C178 * VLOOKUP("adipura", inject!A:B, 2, FALSE)</f>
        <v>0</v>
      </c>
      <c r="E178" s="2"/>
      <c r="F178" s="2"/>
      <c r="G178">
        <f>F178 * VLOOKUP("adiwiyata", inject!A:B, 2, FALSE)</f>
        <v>0</v>
      </c>
      <c r="H178" s="2"/>
      <c r="I178" s="2"/>
      <c r="J178">
        <f>I178 * VLOOKUP("proklim", inject!A:B, 2, FALSE)</f>
        <v>0</v>
      </c>
      <c r="K178" s="2"/>
      <c r="L178" s="2"/>
      <c r="M178">
        <f>L178 * VLOOKUP("proper", inject!A:B, 2, FALSE)</f>
        <v>0</v>
      </c>
      <c r="N178" s="2"/>
      <c r="O178" s="2"/>
      <c r="P178">
        <f>O178 * VLOOKUP("kaltaparu", inject!A:B, 2, FALSE)</f>
        <v>0</v>
      </c>
      <c r="Q178" s="2"/>
    </row>
    <row r="179" spans="1:17">
      <c r="A179">
        <v>178</v>
      </c>
      <c r="B179" t="s">
        <v>190</v>
      </c>
      <c r="C179" s="2"/>
      <c r="D179">
        <f>C179 * VLOOKUP("adipura", inject!A:B, 2, FALSE)</f>
        <v>0</v>
      </c>
      <c r="E179" s="2"/>
      <c r="F179" s="2"/>
      <c r="G179">
        <f>F179 * VLOOKUP("adiwiyata", inject!A:B, 2, FALSE)</f>
        <v>0</v>
      </c>
      <c r="H179" s="2"/>
      <c r="I179" s="2"/>
      <c r="J179">
        <f>I179 * VLOOKUP("proklim", inject!A:B, 2, FALSE)</f>
        <v>0</v>
      </c>
      <c r="K179" s="2"/>
      <c r="L179" s="2"/>
      <c r="M179">
        <f>L179 * VLOOKUP("proper", inject!A:B, 2, FALSE)</f>
        <v>0</v>
      </c>
      <c r="N179" s="2"/>
      <c r="O179" s="2"/>
      <c r="P179">
        <f>O179 * VLOOKUP("kaltaparu", inject!A:B, 2, FALSE)</f>
        <v>0</v>
      </c>
      <c r="Q179" s="2"/>
    </row>
    <row r="180" spans="1:17">
      <c r="A180">
        <v>179</v>
      </c>
      <c r="B180" t="s">
        <v>191</v>
      </c>
      <c r="C180" s="2"/>
      <c r="D180">
        <f>C180 * VLOOKUP("adipura", inject!A:B, 2, FALSE)</f>
        <v>0</v>
      </c>
      <c r="E180" s="2"/>
      <c r="F180" s="2"/>
      <c r="G180">
        <f>F180 * VLOOKUP("adiwiyata", inject!A:B, 2, FALSE)</f>
        <v>0</v>
      </c>
      <c r="H180" s="2"/>
      <c r="I180" s="2"/>
      <c r="J180">
        <f>I180 * VLOOKUP("proklim", inject!A:B, 2, FALSE)</f>
        <v>0</v>
      </c>
      <c r="K180" s="2"/>
      <c r="L180" s="2"/>
      <c r="M180">
        <f>L180 * VLOOKUP("proper", inject!A:B, 2, FALSE)</f>
        <v>0</v>
      </c>
      <c r="N180" s="2"/>
      <c r="O180" s="2"/>
      <c r="P180">
        <f>O180 * VLOOKUP("kaltaparu", inject!A:B, 2, FALSE)</f>
        <v>0</v>
      </c>
      <c r="Q180" s="2"/>
    </row>
    <row r="181" spans="1:17">
      <c r="A181">
        <v>180</v>
      </c>
      <c r="B181" t="s">
        <v>192</v>
      </c>
      <c r="C181" s="2"/>
      <c r="D181">
        <f>C181 * VLOOKUP("adipura", inject!A:B, 2, FALSE)</f>
        <v>0</v>
      </c>
      <c r="E181" s="2"/>
      <c r="F181" s="2"/>
      <c r="G181">
        <f>F181 * VLOOKUP("adiwiyata", inject!A:B, 2, FALSE)</f>
        <v>0</v>
      </c>
      <c r="H181" s="2"/>
      <c r="I181" s="2"/>
      <c r="J181">
        <f>I181 * VLOOKUP("proklim", inject!A:B, 2, FALSE)</f>
        <v>0</v>
      </c>
      <c r="K181" s="2"/>
      <c r="L181" s="2"/>
      <c r="M181">
        <f>L181 * VLOOKUP("proper", inject!A:B, 2, FALSE)</f>
        <v>0</v>
      </c>
      <c r="N181" s="2"/>
      <c r="O181" s="2"/>
      <c r="P181">
        <f>O181 * VLOOKUP("kaltaparu", inject!A:B, 2, FALSE)</f>
        <v>0</v>
      </c>
      <c r="Q181" s="2"/>
    </row>
    <row r="182" spans="1:17">
      <c r="A182">
        <v>181</v>
      </c>
      <c r="B182" t="s">
        <v>193</v>
      </c>
      <c r="C182" s="2"/>
      <c r="D182">
        <f>C182 * VLOOKUP("adipura", inject!A:B, 2, FALSE)</f>
        <v>0</v>
      </c>
      <c r="E182" s="2"/>
      <c r="F182" s="2"/>
      <c r="G182">
        <f>F182 * VLOOKUP("adiwiyata", inject!A:B, 2, FALSE)</f>
        <v>0</v>
      </c>
      <c r="H182" s="2"/>
      <c r="I182" s="2"/>
      <c r="J182">
        <f>I182 * VLOOKUP("proklim", inject!A:B, 2, FALSE)</f>
        <v>0</v>
      </c>
      <c r="K182" s="2"/>
      <c r="L182" s="2"/>
      <c r="M182">
        <f>L182 * VLOOKUP("proper", inject!A:B, 2, FALSE)</f>
        <v>0</v>
      </c>
      <c r="N182" s="2"/>
      <c r="O182" s="2"/>
      <c r="P182">
        <f>O182 * VLOOKUP("kaltaparu", inject!A:B, 2, FALSE)</f>
        <v>0</v>
      </c>
      <c r="Q182" s="2"/>
    </row>
    <row r="183" spans="1:17">
      <c r="A183">
        <v>182</v>
      </c>
      <c r="B183" t="s">
        <v>194</v>
      </c>
      <c r="C183" s="2"/>
      <c r="D183">
        <f>C183 * VLOOKUP("adipura", inject!A:B, 2, FALSE)</f>
        <v>0</v>
      </c>
      <c r="E183" s="2"/>
      <c r="F183" s="2"/>
      <c r="G183">
        <f>F183 * VLOOKUP("adiwiyata", inject!A:B, 2, FALSE)</f>
        <v>0</v>
      </c>
      <c r="H183" s="2"/>
      <c r="I183" s="2"/>
      <c r="J183">
        <f>I183 * VLOOKUP("proklim", inject!A:B, 2, FALSE)</f>
        <v>0</v>
      </c>
      <c r="K183" s="2"/>
      <c r="L183" s="2"/>
      <c r="M183">
        <f>L183 * VLOOKUP("proper", inject!A:B, 2, FALSE)</f>
        <v>0</v>
      </c>
      <c r="N183" s="2"/>
      <c r="O183" s="2"/>
      <c r="P183">
        <f>O183 * VLOOKUP("kaltaparu", inject!A:B, 2, FALSE)</f>
        <v>0</v>
      </c>
      <c r="Q183" s="2"/>
    </row>
    <row r="184" spans="1:17">
      <c r="A184">
        <v>183</v>
      </c>
      <c r="B184" t="s">
        <v>195</v>
      </c>
      <c r="C184" s="2"/>
      <c r="D184">
        <f>C184 * VLOOKUP("adipura", inject!A:B, 2, FALSE)</f>
        <v>0</v>
      </c>
      <c r="E184" s="2"/>
      <c r="F184" s="2"/>
      <c r="G184">
        <f>F184 * VLOOKUP("adiwiyata", inject!A:B, 2, FALSE)</f>
        <v>0</v>
      </c>
      <c r="H184" s="2"/>
      <c r="I184" s="2"/>
      <c r="J184">
        <f>I184 * VLOOKUP("proklim", inject!A:B, 2, FALSE)</f>
        <v>0</v>
      </c>
      <c r="K184" s="2"/>
      <c r="L184" s="2"/>
      <c r="M184">
        <f>L184 * VLOOKUP("proper", inject!A:B, 2, FALSE)</f>
        <v>0</v>
      </c>
      <c r="N184" s="2"/>
      <c r="O184" s="2"/>
      <c r="P184">
        <f>O184 * VLOOKUP("kaltaparu", inject!A:B, 2, FALSE)</f>
        <v>0</v>
      </c>
      <c r="Q184" s="2"/>
    </row>
    <row r="185" spans="1:17">
      <c r="A185">
        <v>184</v>
      </c>
      <c r="B185" t="s">
        <v>196</v>
      </c>
      <c r="C185" s="2"/>
      <c r="D185">
        <f>C185 * VLOOKUP("adipura", inject!A:B, 2, FALSE)</f>
        <v>0</v>
      </c>
      <c r="E185" s="2"/>
      <c r="F185" s="2"/>
      <c r="G185">
        <f>F185 * VLOOKUP("adiwiyata", inject!A:B, 2, FALSE)</f>
        <v>0</v>
      </c>
      <c r="H185" s="2"/>
      <c r="I185" s="2"/>
      <c r="J185">
        <f>I185 * VLOOKUP("proklim", inject!A:B, 2, FALSE)</f>
        <v>0</v>
      </c>
      <c r="K185" s="2"/>
      <c r="L185" s="2"/>
      <c r="M185">
        <f>L185 * VLOOKUP("proper", inject!A:B, 2, FALSE)</f>
        <v>0</v>
      </c>
      <c r="N185" s="2"/>
      <c r="O185" s="2"/>
      <c r="P185">
        <f>O185 * VLOOKUP("kaltaparu", inject!A:B, 2, FALSE)</f>
        <v>0</v>
      </c>
      <c r="Q185" s="2"/>
    </row>
    <row r="186" spans="1:17">
      <c r="A186">
        <v>185</v>
      </c>
      <c r="B186" t="s">
        <v>197</v>
      </c>
      <c r="C186" s="2"/>
      <c r="D186">
        <f>C186 * VLOOKUP("adipura", inject!A:B, 2, FALSE)</f>
        <v>0</v>
      </c>
      <c r="E186" s="2"/>
      <c r="F186" s="2"/>
      <c r="G186">
        <f>F186 * VLOOKUP("adiwiyata", inject!A:B, 2, FALSE)</f>
        <v>0</v>
      </c>
      <c r="H186" s="2"/>
      <c r="I186" s="2"/>
      <c r="J186">
        <f>I186 * VLOOKUP("proklim", inject!A:B, 2, FALSE)</f>
        <v>0</v>
      </c>
      <c r="K186" s="2"/>
      <c r="L186" s="2"/>
      <c r="M186">
        <f>L186 * VLOOKUP("proper", inject!A:B, 2, FALSE)</f>
        <v>0</v>
      </c>
      <c r="N186" s="2"/>
      <c r="O186" s="2"/>
      <c r="P186">
        <f>O186 * VLOOKUP("kaltaparu", inject!A:B, 2, FALSE)</f>
        <v>0</v>
      </c>
      <c r="Q186" s="2"/>
    </row>
    <row r="187" spans="1:17">
      <c r="A187">
        <v>186</v>
      </c>
      <c r="B187" t="s">
        <v>198</v>
      </c>
      <c r="C187" s="2"/>
      <c r="D187">
        <f>C187 * VLOOKUP("adipura", inject!A:B, 2, FALSE)</f>
        <v>0</v>
      </c>
      <c r="E187" s="2"/>
      <c r="F187" s="2"/>
      <c r="G187">
        <f>F187 * VLOOKUP("adiwiyata", inject!A:B, 2, FALSE)</f>
        <v>0</v>
      </c>
      <c r="H187" s="2"/>
      <c r="I187" s="2"/>
      <c r="J187">
        <f>I187 * VLOOKUP("proklim", inject!A:B, 2, FALSE)</f>
        <v>0</v>
      </c>
      <c r="K187" s="2"/>
      <c r="L187" s="2"/>
      <c r="M187">
        <f>L187 * VLOOKUP("proper", inject!A:B, 2, FALSE)</f>
        <v>0</v>
      </c>
      <c r="N187" s="2"/>
      <c r="O187" s="2"/>
      <c r="P187">
        <f>O187 * VLOOKUP("kaltaparu", inject!A:B, 2, FALSE)</f>
        <v>0</v>
      </c>
      <c r="Q187" s="2"/>
    </row>
    <row r="188" spans="1:17">
      <c r="A188">
        <v>187</v>
      </c>
      <c r="B188" t="s">
        <v>199</v>
      </c>
      <c r="C188" s="2"/>
      <c r="D188">
        <f>C188 * VLOOKUP("adipura", inject!A:B, 2, FALSE)</f>
        <v>0</v>
      </c>
      <c r="E188" s="2"/>
      <c r="F188" s="2"/>
      <c r="G188">
        <f>F188 * VLOOKUP("adiwiyata", inject!A:B, 2, FALSE)</f>
        <v>0</v>
      </c>
      <c r="H188" s="2"/>
      <c r="I188" s="2"/>
      <c r="J188">
        <f>I188 * VLOOKUP("proklim", inject!A:B, 2, FALSE)</f>
        <v>0</v>
      </c>
      <c r="K188" s="2"/>
      <c r="L188" s="2"/>
      <c r="M188">
        <f>L188 * VLOOKUP("proper", inject!A:B, 2, FALSE)</f>
        <v>0</v>
      </c>
      <c r="N188" s="2"/>
      <c r="O188" s="2"/>
      <c r="P188">
        <f>O188 * VLOOKUP("kaltaparu", inject!A:B, 2, FALSE)</f>
        <v>0</v>
      </c>
      <c r="Q188" s="2"/>
    </row>
    <row r="189" spans="1:17">
      <c r="A189">
        <v>188</v>
      </c>
      <c r="B189" t="s">
        <v>200</v>
      </c>
      <c r="C189" s="2"/>
      <c r="D189">
        <f>C189 * VLOOKUP("adipura", inject!A:B, 2, FALSE)</f>
        <v>0</v>
      </c>
      <c r="E189" s="2"/>
      <c r="F189" s="2"/>
      <c r="G189">
        <f>F189 * VLOOKUP("adiwiyata", inject!A:B, 2, FALSE)</f>
        <v>0</v>
      </c>
      <c r="H189" s="2"/>
      <c r="I189" s="2"/>
      <c r="J189">
        <f>I189 * VLOOKUP("proklim", inject!A:B, 2, FALSE)</f>
        <v>0</v>
      </c>
      <c r="K189" s="2"/>
      <c r="L189" s="2"/>
      <c r="M189">
        <f>L189 * VLOOKUP("proper", inject!A:B, 2, FALSE)</f>
        <v>0</v>
      </c>
      <c r="N189" s="2"/>
      <c r="O189" s="2"/>
      <c r="P189">
        <f>O189 * VLOOKUP("kaltaparu", inject!A:B, 2, FALSE)</f>
        <v>0</v>
      </c>
      <c r="Q189" s="2"/>
    </row>
    <row r="190" spans="1:17">
      <c r="A190">
        <v>189</v>
      </c>
      <c r="B190" t="s">
        <v>201</v>
      </c>
      <c r="C190" s="2"/>
      <c r="D190">
        <f>C190 * VLOOKUP("adipura", inject!A:B, 2, FALSE)</f>
        <v>0</v>
      </c>
      <c r="E190" s="2"/>
      <c r="F190" s="2"/>
      <c r="G190">
        <f>F190 * VLOOKUP("adiwiyata", inject!A:B, 2, FALSE)</f>
        <v>0</v>
      </c>
      <c r="H190" s="2"/>
      <c r="I190" s="2"/>
      <c r="J190">
        <f>I190 * VLOOKUP("proklim", inject!A:B, 2, FALSE)</f>
        <v>0</v>
      </c>
      <c r="K190" s="2"/>
      <c r="L190" s="2"/>
      <c r="M190">
        <f>L190 * VLOOKUP("proper", inject!A:B, 2, FALSE)</f>
        <v>0</v>
      </c>
      <c r="N190" s="2"/>
      <c r="O190" s="2"/>
      <c r="P190">
        <f>O190 * VLOOKUP("kaltaparu", inject!A:B, 2, FALSE)</f>
        <v>0</v>
      </c>
      <c r="Q190" s="2"/>
    </row>
    <row r="191" spans="1:17">
      <c r="A191">
        <v>190</v>
      </c>
      <c r="B191" t="s">
        <v>202</v>
      </c>
      <c r="C191" s="2"/>
      <c r="D191">
        <f>C191 * VLOOKUP("adipura", inject!A:B, 2, FALSE)</f>
        <v>0</v>
      </c>
      <c r="E191" s="2"/>
      <c r="F191" s="2"/>
      <c r="G191">
        <f>F191 * VLOOKUP("adiwiyata", inject!A:B, 2, FALSE)</f>
        <v>0</v>
      </c>
      <c r="H191" s="2"/>
      <c r="I191" s="2"/>
      <c r="J191">
        <f>I191 * VLOOKUP("proklim", inject!A:B, 2, FALSE)</f>
        <v>0</v>
      </c>
      <c r="K191" s="2"/>
      <c r="L191" s="2"/>
      <c r="M191">
        <f>L191 * VLOOKUP("proper", inject!A:B, 2, FALSE)</f>
        <v>0</v>
      </c>
      <c r="N191" s="2"/>
      <c r="O191" s="2"/>
      <c r="P191">
        <f>O191 * VLOOKUP("kaltaparu", inject!A:B, 2, FALSE)</f>
        <v>0</v>
      </c>
      <c r="Q191" s="2"/>
    </row>
    <row r="192" spans="1:17">
      <c r="A192">
        <v>191</v>
      </c>
      <c r="B192" t="s">
        <v>203</v>
      </c>
      <c r="C192" s="2"/>
      <c r="D192">
        <f>C192 * VLOOKUP("adipura", inject!A:B, 2, FALSE)</f>
        <v>0</v>
      </c>
      <c r="E192" s="2"/>
      <c r="F192" s="2"/>
      <c r="G192">
        <f>F192 * VLOOKUP("adiwiyata", inject!A:B, 2, FALSE)</f>
        <v>0</v>
      </c>
      <c r="H192" s="2"/>
      <c r="I192" s="2"/>
      <c r="J192">
        <f>I192 * VLOOKUP("proklim", inject!A:B, 2, FALSE)</f>
        <v>0</v>
      </c>
      <c r="K192" s="2"/>
      <c r="L192" s="2"/>
      <c r="M192">
        <f>L192 * VLOOKUP("proper", inject!A:B, 2, FALSE)</f>
        <v>0</v>
      </c>
      <c r="N192" s="2"/>
      <c r="O192" s="2"/>
      <c r="P192">
        <f>O192 * VLOOKUP("kaltaparu", inject!A:B, 2, FALSE)</f>
        <v>0</v>
      </c>
      <c r="Q192" s="2"/>
    </row>
    <row r="193" spans="1:17">
      <c r="A193">
        <v>192</v>
      </c>
      <c r="B193" t="s">
        <v>204</v>
      </c>
      <c r="C193" s="2"/>
      <c r="D193">
        <f>C193 * VLOOKUP("adipura", inject!A:B, 2, FALSE)</f>
        <v>0</v>
      </c>
      <c r="E193" s="2"/>
      <c r="F193" s="2"/>
      <c r="G193">
        <f>F193 * VLOOKUP("adiwiyata", inject!A:B, 2, FALSE)</f>
        <v>0</v>
      </c>
      <c r="H193" s="2"/>
      <c r="I193" s="2"/>
      <c r="J193">
        <f>I193 * VLOOKUP("proklim", inject!A:B, 2, FALSE)</f>
        <v>0</v>
      </c>
      <c r="K193" s="2"/>
      <c r="L193" s="2"/>
      <c r="M193">
        <f>L193 * VLOOKUP("proper", inject!A:B, 2, FALSE)</f>
        <v>0</v>
      </c>
      <c r="N193" s="2"/>
      <c r="O193" s="2"/>
      <c r="P193">
        <f>O193 * VLOOKUP("kaltaparu", inject!A:B, 2, FALSE)</f>
        <v>0</v>
      </c>
      <c r="Q193" s="2"/>
    </row>
    <row r="194" spans="1:17">
      <c r="A194">
        <v>193</v>
      </c>
      <c r="B194" t="s">
        <v>205</v>
      </c>
      <c r="C194" s="2"/>
      <c r="D194">
        <f>C194 * VLOOKUP("adipura", inject!A:B, 2, FALSE)</f>
        <v>0</v>
      </c>
      <c r="E194" s="2"/>
      <c r="F194" s="2"/>
      <c r="G194">
        <f>F194 * VLOOKUP("adiwiyata", inject!A:B, 2, FALSE)</f>
        <v>0</v>
      </c>
      <c r="H194" s="2"/>
      <c r="I194" s="2"/>
      <c r="J194">
        <f>I194 * VLOOKUP("proklim", inject!A:B, 2, FALSE)</f>
        <v>0</v>
      </c>
      <c r="K194" s="2"/>
      <c r="L194" s="2"/>
      <c r="M194">
        <f>L194 * VLOOKUP("proper", inject!A:B, 2, FALSE)</f>
        <v>0</v>
      </c>
      <c r="N194" s="2"/>
      <c r="O194" s="2"/>
      <c r="P194">
        <f>O194 * VLOOKUP("kaltaparu", inject!A:B, 2, FALSE)</f>
        <v>0</v>
      </c>
      <c r="Q194" s="2"/>
    </row>
    <row r="195" spans="1:17">
      <c r="A195">
        <v>194</v>
      </c>
      <c r="B195" t="s">
        <v>206</v>
      </c>
      <c r="C195" s="2"/>
      <c r="D195">
        <f>C195 * VLOOKUP("adipura", inject!A:B, 2, FALSE)</f>
        <v>0</v>
      </c>
      <c r="E195" s="2"/>
      <c r="F195" s="2"/>
      <c r="G195">
        <f>F195 * VLOOKUP("adiwiyata", inject!A:B, 2, FALSE)</f>
        <v>0</v>
      </c>
      <c r="H195" s="2"/>
      <c r="I195" s="2"/>
      <c r="J195">
        <f>I195 * VLOOKUP("proklim", inject!A:B, 2, FALSE)</f>
        <v>0</v>
      </c>
      <c r="K195" s="2"/>
      <c r="L195" s="2"/>
      <c r="M195">
        <f>L195 * VLOOKUP("proper", inject!A:B, 2, FALSE)</f>
        <v>0</v>
      </c>
      <c r="N195" s="2"/>
      <c r="O195" s="2"/>
      <c r="P195">
        <f>O195 * VLOOKUP("kaltaparu", inject!A:B, 2, FALSE)</f>
        <v>0</v>
      </c>
      <c r="Q195" s="2"/>
    </row>
    <row r="196" spans="1:17">
      <c r="A196">
        <v>195</v>
      </c>
      <c r="B196" t="s">
        <v>207</v>
      </c>
      <c r="C196" s="2"/>
      <c r="D196">
        <f>C196 * VLOOKUP("adipura", inject!A:B, 2, FALSE)</f>
        <v>0</v>
      </c>
      <c r="E196" s="2"/>
      <c r="F196" s="2"/>
      <c r="G196">
        <f>F196 * VLOOKUP("adiwiyata", inject!A:B, 2, FALSE)</f>
        <v>0</v>
      </c>
      <c r="H196" s="2"/>
      <c r="I196" s="2"/>
      <c r="J196">
        <f>I196 * VLOOKUP("proklim", inject!A:B, 2, FALSE)</f>
        <v>0</v>
      </c>
      <c r="K196" s="2"/>
      <c r="L196" s="2"/>
      <c r="M196">
        <f>L196 * VLOOKUP("proper", inject!A:B, 2, FALSE)</f>
        <v>0</v>
      </c>
      <c r="N196" s="2"/>
      <c r="O196" s="2"/>
      <c r="P196">
        <f>O196 * VLOOKUP("kaltaparu", inject!A:B, 2, FALSE)</f>
        <v>0</v>
      </c>
      <c r="Q196" s="2"/>
    </row>
    <row r="197" spans="1:17">
      <c r="A197">
        <v>196</v>
      </c>
      <c r="B197" t="s">
        <v>208</v>
      </c>
      <c r="C197" s="2"/>
      <c r="D197">
        <f>C197 * VLOOKUP("adipura", inject!A:B, 2, FALSE)</f>
        <v>0</v>
      </c>
      <c r="E197" s="2"/>
      <c r="F197" s="2"/>
      <c r="G197">
        <f>F197 * VLOOKUP("adiwiyata", inject!A:B, 2, FALSE)</f>
        <v>0</v>
      </c>
      <c r="H197" s="2"/>
      <c r="I197" s="2"/>
      <c r="J197">
        <f>I197 * VLOOKUP("proklim", inject!A:B, 2, FALSE)</f>
        <v>0</v>
      </c>
      <c r="K197" s="2"/>
      <c r="L197" s="2"/>
      <c r="M197">
        <f>L197 * VLOOKUP("proper", inject!A:B, 2, FALSE)</f>
        <v>0</v>
      </c>
      <c r="N197" s="2"/>
      <c r="O197" s="2"/>
      <c r="P197">
        <f>O197 * VLOOKUP("kaltaparu", inject!A:B, 2, FALSE)</f>
        <v>0</v>
      </c>
      <c r="Q197" s="2"/>
    </row>
    <row r="198" spans="1:17">
      <c r="A198">
        <v>197</v>
      </c>
      <c r="B198" t="s">
        <v>209</v>
      </c>
      <c r="C198" s="2"/>
      <c r="D198">
        <f>C198 * VLOOKUP("adipura", inject!A:B, 2, FALSE)</f>
        <v>0</v>
      </c>
      <c r="E198" s="2"/>
      <c r="F198" s="2"/>
      <c r="G198">
        <f>F198 * VLOOKUP("adiwiyata", inject!A:B, 2, FALSE)</f>
        <v>0</v>
      </c>
      <c r="H198" s="2"/>
      <c r="I198" s="2"/>
      <c r="J198">
        <f>I198 * VLOOKUP("proklim", inject!A:B, 2, FALSE)</f>
        <v>0</v>
      </c>
      <c r="K198" s="2"/>
      <c r="L198" s="2"/>
      <c r="M198">
        <f>L198 * VLOOKUP("proper", inject!A:B, 2, FALSE)</f>
        <v>0</v>
      </c>
      <c r="N198" s="2"/>
      <c r="O198" s="2"/>
      <c r="P198">
        <f>O198 * VLOOKUP("kaltaparu", inject!A:B, 2, FALSE)</f>
        <v>0</v>
      </c>
      <c r="Q198" s="2"/>
    </row>
    <row r="199" spans="1:17">
      <c r="A199">
        <v>198</v>
      </c>
      <c r="B199" t="s">
        <v>210</v>
      </c>
      <c r="C199" s="2"/>
      <c r="D199">
        <f>C199 * VLOOKUP("adipura", inject!A:B, 2, FALSE)</f>
        <v>0</v>
      </c>
      <c r="E199" s="2"/>
      <c r="F199" s="2"/>
      <c r="G199">
        <f>F199 * VLOOKUP("adiwiyata", inject!A:B, 2, FALSE)</f>
        <v>0</v>
      </c>
      <c r="H199" s="2"/>
      <c r="I199" s="2"/>
      <c r="J199">
        <f>I199 * VLOOKUP("proklim", inject!A:B, 2, FALSE)</f>
        <v>0</v>
      </c>
      <c r="K199" s="2"/>
      <c r="L199" s="2"/>
      <c r="M199">
        <f>L199 * VLOOKUP("proper", inject!A:B, 2, FALSE)</f>
        <v>0</v>
      </c>
      <c r="N199" s="2"/>
      <c r="O199" s="2"/>
      <c r="P199">
        <f>O199 * VLOOKUP("kaltaparu", inject!A:B, 2, FALSE)</f>
        <v>0</v>
      </c>
      <c r="Q199" s="2"/>
    </row>
    <row r="200" spans="1:17">
      <c r="A200">
        <v>199</v>
      </c>
      <c r="B200" t="s">
        <v>211</v>
      </c>
      <c r="C200" s="2"/>
      <c r="D200">
        <f>C200 * VLOOKUP("adipura", inject!A:B, 2, FALSE)</f>
        <v>0</v>
      </c>
      <c r="E200" s="2"/>
      <c r="F200" s="2"/>
      <c r="G200">
        <f>F200 * VLOOKUP("adiwiyata", inject!A:B, 2, FALSE)</f>
        <v>0</v>
      </c>
      <c r="H200" s="2"/>
      <c r="I200" s="2"/>
      <c r="J200">
        <f>I200 * VLOOKUP("proklim", inject!A:B, 2, FALSE)</f>
        <v>0</v>
      </c>
      <c r="K200" s="2"/>
      <c r="L200" s="2"/>
      <c r="M200">
        <f>L200 * VLOOKUP("proper", inject!A:B, 2, FALSE)</f>
        <v>0</v>
      </c>
      <c r="N200" s="2"/>
      <c r="O200" s="2"/>
      <c r="P200">
        <f>O200 * VLOOKUP("kaltaparu", inject!A:B, 2, FALSE)</f>
        <v>0</v>
      </c>
      <c r="Q200" s="2"/>
    </row>
    <row r="201" spans="1:17">
      <c r="A201">
        <v>200</v>
      </c>
      <c r="B201" t="s">
        <v>212</v>
      </c>
      <c r="C201" s="2"/>
      <c r="D201">
        <f>C201 * VLOOKUP("adipura", inject!A:B, 2, FALSE)</f>
        <v>0</v>
      </c>
      <c r="E201" s="2"/>
      <c r="F201" s="2"/>
      <c r="G201">
        <f>F201 * VLOOKUP("adiwiyata", inject!A:B, 2, FALSE)</f>
        <v>0</v>
      </c>
      <c r="H201" s="2"/>
      <c r="I201" s="2"/>
      <c r="J201">
        <f>I201 * VLOOKUP("proklim", inject!A:B, 2, FALSE)</f>
        <v>0</v>
      </c>
      <c r="K201" s="2"/>
      <c r="L201" s="2"/>
      <c r="M201">
        <f>L201 * VLOOKUP("proper", inject!A:B, 2, FALSE)</f>
        <v>0</v>
      </c>
      <c r="N201" s="2"/>
      <c r="O201" s="2"/>
      <c r="P201">
        <f>O201 * VLOOKUP("kaltaparu", inject!A:B, 2, FALSE)</f>
        <v>0</v>
      </c>
      <c r="Q201" s="2"/>
    </row>
    <row r="202" spans="1:17">
      <c r="A202">
        <v>201</v>
      </c>
      <c r="B202" t="s">
        <v>213</v>
      </c>
      <c r="C202" s="2"/>
      <c r="D202">
        <f>C202 * VLOOKUP("adipura", inject!A:B, 2, FALSE)</f>
        <v>0</v>
      </c>
      <c r="E202" s="2"/>
      <c r="F202" s="2"/>
      <c r="G202">
        <f>F202 * VLOOKUP("adiwiyata", inject!A:B, 2, FALSE)</f>
        <v>0</v>
      </c>
      <c r="H202" s="2"/>
      <c r="I202" s="2"/>
      <c r="J202">
        <f>I202 * VLOOKUP("proklim", inject!A:B, 2, FALSE)</f>
        <v>0</v>
      </c>
      <c r="K202" s="2"/>
      <c r="L202" s="2"/>
      <c r="M202">
        <f>L202 * VLOOKUP("proper", inject!A:B, 2, FALSE)</f>
        <v>0</v>
      </c>
      <c r="N202" s="2"/>
      <c r="O202" s="2"/>
      <c r="P202">
        <f>O202 * VLOOKUP("kaltaparu", inject!A:B, 2, FALSE)</f>
        <v>0</v>
      </c>
      <c r="Q202" s="2"/>
    </row>
    <row r="203" spans="1:17">
      <c r="A203">
        <v>202</v>
      </c>
      <c r="B203" t="s">
        <v>214</v>
      </c>
      <c r="C203" s="2"/>
      <c r="D203">
        <f>C203 * VLOOKUP("adipura", inject!A:B, 2, FALSE)</f>
        <v>0</v>
      </c>
      <c r="E203" s="2"/>
      <c r="F203" s="2"/>
      <c r="G203">
        <f>F203 * VLOOKUP("adiwiyata", inject!A:B, 2, FALSE)</f>
        <v>0</v>
      </c>
      <c r="H203" s="2"/>
      <c r="I203" s="2"/>
      <c r="J203">
        <f>I203 * VLOOKUP("proklim", inject!A:B, 2, FALSE)</f>
        <v>0</v>
      </c>
      <c r="K203" s="2"/>
      <c r="L203" s="2"/>
      <c r="M203">
        <f>L203 * VLOOKUP("proper", inject!A:B, 2, FALSE)</f>
        <v>0</v>
      </c>
      <c r="N203" s="2"/>
      <c r="O203" s="2"/>
      <c r="P203">
        <f>O203 * VLOOKUP("kaltaparu", inject!A:B, 2, FALSE)</f>
        <v>0</v>
      </c>
      <c r="Q203" s="2"/>
    </row>
    <row r="204" spans="1:17">
      <c r="A204">
        <v>203</v>
      </c>
      <c r="B204" t="s">
        <v>215</v>
      </c>
      <c r="C204" s="2"/>
      <c r="D204">
        <f>C204 * VLOOKUP("adipura", inject!A:B, 2, FALSE)</f>
        <v>0</v>
      </c>
      <c r="E204" s="2"/>
      <c r="F204" s="2"/>
      <c r="G204">
        <f>F204 * VLOOKUP("adiwiyata", inject!A:B, 2, FALSE)</f>
        <v>0</v>
      </c>
      <c r="H204" s="2"/>
      <c r="I204" s="2"/>
      <c r="J204">
        <f>I204 * VLOOKUP("proklim", inject!A:B, 2, FALSE)</f>
        <v>0</v>
      </c>
      <c r="K204" s="2"/>
      <c r="L204" s="2"/>
      <c r="M204">
        <f>L204 * VLOOKUP("proper", inject!A:B, 2, FALSE)</f>
        <v>0</v>
      </c>
      <c r="N204" s="2"/>
      <c r="O204" s="2"/>
      <c r="P204">
        <f>O204 * VLOOKUP("kaltaparu", inject!A:B, 2, FALSE)</f>
        <v>0</v>
      </c>
      <c r="Q204" s="2"/>
    </row>
    <row r="205" spans="1:17">
      <c r="A205">
        <v>204</v>
      </c>
      <c r="B205" t="s">
        <v>216</v>
      </c>
      <c r="C205" s="2"/>
      <c r="D205">
        <f>C205 * VLOOKUP("adipura", inject!A:B, 2, FALSE)</f>
        <v>0</v>
      </c>
      <c r="E205" s="2"/>
      <c r="F205" s="2"/>
      <c r="G205">
        <f>F205 * VLOOKUP("adiwiyata", inject!A:B, 2, FALSE)</f>
        <v>0</v>
      </c>
      <c r="H205" s="2"/>
      <c r="I205" s="2"/>
      <c r="J205">
        <f>I205 * VLOOKUP("proklim", inject!A:B, 2, FALSE)</f>
        <v>0</v>
      </c>
      <c r="K205" s="2"/>
      <c r="L205" s="2"/>
      <c r="M205">
        <f>L205 * VLOOKUP("proper", inject!A:B, 2, FALSE)</f>
        <v>0</v>
      </c>
      <c r="N205" s="2"/>
      <c r="O205" s="2"/>
      <c r="P205">
        <f>O205 * VLOOKUP("kaltaparu", inject!A:B, 2, FALSE)</f>
        <v>0</v>
      </c>
      <c r="Q205" s="2"/>
    </row>
    <row r="206" spans="1:17">
      <c r="A206">
        <v>205</v>
      </c>
      <c r="B206" t="s">
        <v>217</v>
      </c>
      <c r="C206" s="2"/>
      <c r="D206">
        <f>C206 * VLOOKUP("adipura", inject!A:B, 2, FALSE)</f>
        <v>0</v>
      </c>
      <c r="E206" s="2"/>
      <c r="F206" s="2"/>
      <c r="G206">
        <f>F206 * VLOOKUP("adiwiyata", inject!A:B, 2, FALSE)</f>
        <v>0</v>
      </c>
      <c r="H206" s="2"/>
      <c r="I206" s="2"/>
      <c r="J206">
        <f>I206 * VLOOKUP("proklim", inject!A:B, 2, FALSE)</f>
        <v>0</v>
      </c>
      <c r="K206" s="2"/>
      <c r="L206" s="2"/>
      <c r="M206">
        <f>L206 * VLOOKUP("proper", inject!A:B, 2, FALSE)</f>
        <v>0</v>
      </c>
      <c r="N206" s="2"/>
      <c r="O206" s="2"/>
      <c r="P206">
        <f>O206 * VLOOKUP("kaltaparu", inject!A:B, 2, FALSE)</f>
        <v>0</v>
      </c>
      <c r="Q206" s="2"/>
    </row>
    <row r="207" spans="1:17">
      <c r="A207">
        <v>206</v>
      </c>
      <c r="B207" t="s">
        <v>218</v>
      </c>
      <c r="C207" s="2"/>
      <c r="D207">
        <f>C207 * VLOOKUP("adipura", inject!A:B, 2, FALSE)</f>
        <v>0</v>
      </c>
      <c r="E207" s="2"/>
      <c r="F207" s="2"/>
      <c r="G207">
        <f>F207 * VLOOKUP("adiwiyata", inject!A:B, 2, FALSE)</f>
        <v>0</v>
      </c>
      <c r="H207" s="2"/>
      <c r="I207" s="2"/>
      <c r="J207">
        <f>I207 * VLOOKUP("proklim", inject!A:B, 2, FALSE)</f>
        <v>0</v>
      </c>
      <c r="K207" s="2"/>
      <c r="L207" s="2"/>
      <c r="M207">
        <f>L207 * VLOOKUP("proper", inject!A:B, 2, FALSE)</f>
        <v>0</v>
      </c>
      <c r="N207" s="2"/>
      <c r="O207" s="2"/>
      <c r="P207">
        <f>O207 * VLOOKUP("kaltaparu", inject!A:B, 2, FALSE)</f>
        <v>0</v>
      </c>
      <c r="Q207" s="2"/>
    </row>
    <row r="208" spans="1:17">
      <c r="A208">
        <v>207</v>
      </c>
      <c r="B208" t="s">
        <v>219</v>
      </c>
      <c r="C208" s="2"/>
      <c r="D208">
        <f>C208 * VLOOKUP("adipura", inject!A:B, 2, FALSE)</f>
        <v>0</v>
      </c>
      <c r="E208" s="2"/>
      <c r="F208" s="2"/>
      <c r="G208">
        <f>F208 * VLOOKUP("adiwiyata", inject!A:B, 2, FALSE)</f>
        <v>0</v>
      </c>
      <c r="H208" s="2"/>
      <c r="I208" s="2"/>
      <c r="J208">
        <f>I208 * VLOOKUP("proklim", inject!A:B, 2, FALSE)</f>
        <v>0</v>
      </c>
      <c r="K208" s="2"/>
      <c r="L208" s="2"/>
      <c r="M208">
        <f>L208 * VLOOKUP("proper", inject!A:B, 2, FALSE)</f>
        <v>0</v>
      </c>
      <c r="N208" s="2"/>
      <c r="O208" s="2"/>
      <c r="P208">
        <f>O208 * VLOOKUP("kaltaparu", inject!A:B, 2, FALSE)</f>
        <v>0</v>
      </c>
      <c r="Q208" s="2"/>
    </row>
    <row r="209" spans="1:17">
      <c r="A209">
        <v>208</v>
      </c>
      <c r="B209" t="s">
        <v>220</v>
      </c>
      <c r="C209" s="2"/>
      <c r="D209">
        <f>C209 * VLOOKUP("adipura", inject!A:B, 2, FALSE)</f>
        <v>0</v>
      </c>
      <c r="E209" s="2"/>
      <c r="F209" s="2"/>
      <c r="G209">
        <f>F209 * VLOOKUP("adiwiyata", inject!A:B, 2, FALSE)</f>
        <v>0</v>
      </c>
      <c r="H209" s="2"/>
      <c r="I209" s="2"/>
      <c r="J209">
        <f>I209 * VLOOKUP("proklim", inject!A:B, 2, FALSE)</f>
        <v>0</v>
      </c>
      <c r="K209" s="2"/>
      <c r="L209" s="2"/>
      <c r="M209">
        <f>L209 * VLOOKUP("proper", inject!A:B, 2, FALSE)</f>
        <v>0</v>
      </c>
      <c r="N209" s="2"/>
      <c r="O209" s="2"/>
      <c r="P209">
        <f>O209 * VLOOKUP("kaltaparu", inject!A:B, 2, FALSE)</f>
        <v>0</v>
      </c>
      <c r="Q209" s="2"/>
    </row>
    <row r="210" spans="1:17">
      <c r="A210">
        <v>209</v>
      </c>
      <c r="B210" t="s">
        <v>221</v>
      </c>
      <c r="C210" s="2"/>
      <c r="D210">
        <f>C210 * VLOOKUP("adipura", inject!A:B, 2, FALSE)</f>
        <v>0</v>
      </c>
      <c r="E210" s="2"/>
      <c r="F210" s="2"/>
      <c r="G210">
        <f>F210 * VLOOKUP("adiwiyata", inject!A:B, 2, FALSE)</f>
        <v>0</v>
      </c>
      <c r="H210" s="2"/>
      <c r="I210" s="2"/>
      <c r="J210">
        <f>I210 * VLOOKUP("proklim", inject!A:B, 2, FALSE)</f>
        <v>0</v>
      </c>
      <c r="K210" s="2"/>
      <c r="L210" s="2"/>
      <c r="M210">
        <f>L210 * VLOOKUP("proper", inject!A:B, 2, FALSE)</f>
        <v>0</v>
      </c>
      <c r="N210" s="2"/>
      <c r="O210" s="2"/>
      <c r="P210">
        <f>O210 * VLOOKUP("kaltaparu", inject!A:B, 2, FALSE)</f>
        <v>0</v>
      </c>
      <c r="Q210" s="2"/>
    </row>
    <row r="211" spans="1:17">
      <c r="A211">
        <v>210</v>
      </c>
      <c r="B211" t="s">
        <v>222</v>
      </c>
      <c r="C211" s="2"/>
      <c r="D211">
        <f>C211 * VLOOKUP("adipura", inject!A:B, 2, FALSE)</f>
        <v>0</v>
      </c>
      <c r="E211" s="2"/>
      <c r="F211" s="2"/>
      <c r="G211">
        <f>F211 * VLOOKUP("adiwiyata", inject!A:B, 2, FALSE)</f>
        <v>0</v>
      </c>
      <c r="H211" s="2"/>
      <c r="I211" s="2"/>
      <c r="J211">
        <f>I211 * VLOOKUP("proklim", inject!A:B, 2, FALSE)</f>
        <v>0</v>
      </c>
      <c r="K211" s="2"/>
      <c r="L211" s="2"/>
      <c r="M211">
        <f>L211 * VLOOKUP("proper", inject!A:B, 2, FALSE)</f>
        <v>0</v>
      </c>
      <c r="N211" s="2"/>
      <c r="O211" s="2"/>
      <c r="P211">
        <f>O211 * VLOOKUP("kaltaparu", inject!A:B, 2, FALSE)</f>
        <v>0</v>
      </c>
      <c r="Q211" s="2"/>
    </row>
    <row r="212" spans="1:17">
      <c r="A212">
        <v>211</v>
      </c>
      <c r="B212" t="s">
        <v>223</v>
      </c>
      <c r="C212" s="2"/>
      <c r="D212">
        <f>C212 * VLOOKUP("adipura", inject!A:B, 2, FALSE)</f>
        <v>0</v>
      </c>
      <c r="E212" s="2"/>
      <c r="F212" s="2"/>
      <c r="G212">
        <f>F212 * VLOOKUP("adiwiyata", inject!A:B, 2, FALSE)</f>
        <v>0</v>
      </c>
      <c r="H212" s="2"/>
      <c r="I212" s="2"/>
      <c r="J212">
        <f>I212 * VLOOKUP("proklim", inject!A:B, 2, FALSE)</f>
        <v>0</v>
      </c>
      <c r="K212" s="2"/>
      <c r="L212" s="2"/>
      <c r="M212">
        <f>L212 * VLOOKUP("proper", inject!A:B, 2, FALSE)</f>
        <v>0</v>
      </c>
      <c r="N212" s="2"/>
      <c r="O212" s="2"/>
      <c r="P212">
        <f>O212 * VLOOKUP("kaltaparu", inject!A:B, 2, FALSE)</f>
        <v>0</v>
      </c>
      <c r="Q212" s="2"/>
    </row>
    <row r="213" spans="1:17">
      <c r="A213">
        <v>212</v>
      </c>
      <c r="B213" t="s">
        <v>224</v>
      </c>
      <c r="C213" s="2"/>
      <c r="D213">
        <f>C213 * VLOOKUP("adipura", inject!A:B, 2, FALSE)</f>
        <v>0</v>
      </c>
      <c r="E213" s="2"/>
      <c r="F213" s="2"/>
      <c r="G213">
        <f>F213 * VLOOKUP("adiwiyata", inject!A:B, 2, FALSE)</f>
        <v>0</v>
      </c>
      <c r="H213" s="2"/>
      <c r="I213" s="2"/>
      <c r="J213">
        <f>I213 * VLOOKUP("proklim", inject!A:B, 2, FALSE)</f>
        <v>0</v>
      </c>
      <c r="K213" s="2"/>
      <c r="L213" s="2"/>
      <c r="M213">
        <f>L213 * VLOOKUP("proper", inject!A:B, 2, FALSE)</f>
        <v>0</v>
      </c>
      <c r="N213" s="2"/>
      <c r="O213" s="2"/>
      <c r="P213">
        <f>O213 * VLOOKUP("kaltaparu", inject!A:B, 2, FALSE)</f>
        <v>0</v>
      </c>
      <c r="Q213" s="2"/>
    </row>
    <row r="214" spans="1:17">
      <c r="A214">
        <v>213</v>
      </c>
      <c r="B214" t="s">
        <v>225</v>
      </c>
      <c r="C214" s="2"/>
      <c r="D214">
        <f>C214 * VLOOKUP("adipura", inject!A:B, 2, FALSE)</f>
        <v>0</v>
      </c>
      <c r="E214" s="2"/>
      <c r="F214" s="2"/>
      <c r="G214">
        <f>F214 * VLOOKUP("adiwiyata", inject!A:B, 2, FALSE)</f>
        <v>0</v>
      </c>
      <c r="H214" s="2"/>
      <c r="I214" s="2"/>
      <c r="J214">
        <f>I214 * VLOOKUP("proklim", inject!A:B, 2, FALSE)</f>
        <v>0</v>
      </c>
      <c r="K214" s="2"/>
      <c r="L214" s="2"/>
      <c r="M214">
        <f>L214 * VLOOKUP("proper", inject!A:B, 2, FALSE)</f>
        <v>0</v>
      </c>
      <c r="N214" s="2"/>
      <c r="O214" s="2"/>
      <c r="P214">
        <f>O214 * VLOOKUP("kaltaparu", inject!A:B, 2, FALSE)</f>
        <v>0</v>
      </c>
      <c r="Q214" s="2"/>
    </row>
    <row r="215" spans="1:17">
      <c r="A215">
        <v>214</v>
      </c>
      <c r="B215" t="s">
        <v>226</v>
      </c>
      <c r="C215" s="2"/>
      <c r="D215">
        <f>C215 * VLOOKUP("adipura", inject!A:B, 2, FALSE)</f>
        <v>0</v>
      </c>
      <c r="E215" s="2"/>
      <c r="F215" s="2"/>
      <c r="G215">
        <f>F215 * VLOOKUP("adiwiyata", inject!A:B, 2, FALSE)</f>
        <v>0</v>
      </c>
      <c r="H215" s="2"/>
      <c r="I215" s="2"/>
      <c r="J215">
        <f>I215 * VLOOKUP("proklim", inject!A:B, 2, FALSE)</f>
        <v>0</v>
      </c>
      <c r="K215" s="2"/>
      <c r="L215" s="2"/>
      <c r="M215">
        <f>L215 * VLOOKUP("proper", inject!A:B, 2, FALSE)</f>
        <v>0</v>
      </c>
      <c r="N215" s="2"/>
      <c r="O215" s="2"/>
      <c r="P215">
        <f>O215 * VLOOKUP("kaltaparu", inject!A:B, 2, FALSE)</f>
        <v>0</v>
      </c>
      <c r="Q215" s="2"/>
    </row>
    <row r="216" spans="1:17">
      <c r="A216">
        <v>215</v>
      </c>
      <c r="B216" t="s">
        <v>227</v>
      </c>
      <c r="C216" s="2"/>
      <c r="D216">
        <f>C216 * VLOOKUP("adipura", inject!A:B, 2, FALSE)</f>
        <v>0</v>
      </c>
      <c r="E216" s="2"/>
      <c r="F216" s="2"/>
      <c r="G216">
        <f>F216 * VLOOKUP("adiwiyata", inject!A:B, 2, FALSE)</f>
        <v>0</v>
      </c>
      <c r="H216" s="2"/>
      <c r="I216" s="2"/>
      <c r="J216">
        <f>I216 * VLOOKUP("proklim", inject!A:B, 2, FALSE)</f>
        <v>0</v>
      </c>
      <c r="K216" s="2"/>
      <c r="L216" s="2"/>
      <c r="M216">
        <f>L216 * VLOOKUP("proper", inject!A:B, 2, FALSE)</f>
        <v>0</v>
      </c>
      <c r="N216" s="2"/>
      <c r="O216" s="2"/>
      <c r="P216">
        <f>O216 * VLOOKUP("kaltaparu", inject!A:B, 2, FALSE)</f>
        <v>0</v>
      </c>
      <c r="Q216" s="2"/>
    </row>
    <row r="217" spans="1:17">
      <c r="A217">
        <v>216</v>
      </c>
      <c r="B217" t="s">
        <v>228</v>
      </c>
      <c r="C217" s="2"/>
      <c r="D217">
        <f>C217 * VLOOKUP("adipura", inject!A:B, 2, FALSE)</f>
        <v>0</v>
      </c>
      <c r="E217" s="2"/>
      <c r="F217" s="2"/>
      <c r="G217">
        <f>F217 * VLOOKUP("adiwiyata", inject!A:B, 2, FALSE)</f>
        <v>0</v>
      </c>
      <c r="H217" s="2"/>
      <c r="I217" s="2"/>
      <c r="J217">
        <f>I217 * VLOOKUP("proklim", inject!A:B, 2, FALSE)</f>
        <v>0</v>
      </c>
      <c r="K217" s="2"/>
      <c r="L217" s="2"/>
      <c r="M217">
        <f>L217 * VLOOKUP("proper", inject!A:B, 2, FALSE)</f>
        <v>0</v>
      </c>
      <c r="N217" s="2"/>
      <c r="O217" s="2"/>
      <c r="P217">
        <f>O217 * VLOOKUP("kaltaparu", inject!A:B, 2, FALSE)</f>
        <v>0</v>
      </c>
      <c r="Q217" s="2"/>
    </row>
    <row r="218" spans="1:17">
      <c r="A218">
        <v>217</v>
      </c>
      <c r="B218" t="s">
        <v>229</v>
      </c>
      <c r="C218" s="2"/>
      <c r="D218">
        <f>C218 * VLOOKUP("adipura", inject!A:B, 2, FALSE)</f>
        <v>0</v>
      </c>
      <c r="E218" s="2"/>
      <c r="F218" s="2"/>
      <c r="G218">
        <f>F218 * VLOOKUP("adiwiyata", inject!A:B, 2, FALSE)</f>
        <v>0</v>
      </c>
      <c r="H218" s="2"/>
      <c r="I218" s="2"/>
      <c r="J218">
        <f>I218 * VLOOKUP("proklim", inject!A:B, 2, FALSE)</f>
        <v>0</v>
      </c>
      <c r="K218" s="2"/>
      <c r="L218" s="2"/>
      <c r="M218">
        <f>L218 * VLOOKUP("proper", inject!A:B, 2, FALSE)</f>
        <v>0</v>
      </c>
      <c r="N218" s="2"/>
      <c r="O218" s="2"/>
      <c r="P218">
        <f>O218 * VLOOKUP("kaltaparu", inject!A:B, 2, FALSE)</f>
        <v>0</v>
      </c>
      <c r="Q218" s="2"/>
    </row>
    <row r="219" spans="1:17">
      <c r="A219">
        <v>218</v>
      </c>
      <c r="B219" t="s">
        <v>230</v>
      </c>
      <c r="C219" s="2"/>
      <c r="D219">
        <f>C219 * VLOOKUP("adipura", inject!A:B, 2, FALSE)</f>
        <v>0</v>
      </c>
      <c r="E219" s="2"/>
      <c r="F219" s="2"/>
      <c r="G219">
        <f>F219 * VLOOKUP("adiwiyata", inject!A:B, 2, FALSE)</f>
        <v>0</v>
      </c>
      <c r="H219" s="2"/>
      <c r="I219" s="2"/>
      <c r="J219">
        <f>I219 * VLOOKUP("proklim", inject!A:B, 2, FALSE)</f>
        <v>0</v>
      </c>
      <c r="K219" s="2"/>
      <c r="L219" s="2"/>
      <c r="M219">
        <f>L219 * VLOOKUP("proper", inject!A:B, 2, FALSE)</f>
        <v>0</v>
      </c>
      <c r="N219" s="2"/>
      <c r="O219" s="2"/>
      <c r="P219">
        <f>O219 * VLOOKUP("kaltaparu", inject!A:B, 2, FALSE)</f>
        <v>0</v>
      </c>
      <c r="Q219" s="2"/>
    </row>
    <row r="220" spans="1:17">
      <c r="A220">
        <v>219</v>
      </c>
      <c r="B220" t="s">
        <v>231</v>
      </c>
      <c r="C220" s="2"/>
      <c r="D220">
        <f>C220 * VLOOKUP("adipura", inject!A:B, 2, FALSE)</f>
        <v>0</v>
      </c>
      <c r="E220" s="2"/>
      <c r="F220" s="2"/>
      <c r="G220">
        <f>F220 * VLOOKUP("adiwiyata", inject!A:B, 2, FALSE)</f>
        <v>0</v>
      </c>
      <c r="H220" s="2"/>
      <c r="I220" s="2"/>
      <c r="J220">
        <f>I220 * VLOOKUP("proklim", inject!A:B, 2, FALSE)</f>
        <v>0</v>
      </c>
      <c r="K220" s="2"/>
      <c r="L220" s="2"/>
      <c r="M220">
        <f>L220 * VLOOKUP("proper", inject!A:B, 2, FALSE)</f>
        <v>0</v>
      </c>
      <c r="N220" s="2"/>
      <c r="O220" s="2"/>
      <c r="P220">
        <f>O220 * VLOOKUP("kaltaparu", inject!A:B, 2, FALSE)</f>
        <v>0</v>
      </c>
      <c r="Q220" s="2"/>
    </row>
    <row r="221" spans="1:17">
      <c r="A221">
        <v>220</v>
      </c>
      <c r="B221" t="s">
        <v>232</v>
      </c>
      <c r="C221" s="2"/>
      <c r="D221">
        <f>C221 * VLOOKUP("adipura", inject!A:B, 2, FALSE)</f>
        <v>0</v>
      </c>
      <c r="E221" s="2"/>
      <c r="F221" s="2"/>
      <c r="G221">
        <f>F221 * VLOOKUP("adiwiyata", inject!A:B, 2, FALSE)</f>
        <v>0</v>
      </c>
      <c r="H221" s="2"/>
      <c r="I221" s="2"/>
      <c r="J221">
        <f>I221 * VLOOKUP("proklim", inject!A:B, 2, FALSE)</f>
        <v>0</v>
      </c>
      <c r="K221" s="2"/>
      <c r="L221" s="2"/>
      <c r="M221">
        <f>L221 * VLOOKUP("proper", inject!A:B, 2, FALSE)</f>
        <v>0</v>
      </c>
      <c r="N221" s="2"/>
      <c r="O221" s="2"/>
      <c r="P221">
        <f>O221 * VLOOKUP("kaltaparu", inject!A:B, 2, FALSE)</f>
        <v>0</v>
      </c>
      <c r="Q221" s="2"/>
    </row>
    <row r="222" spans="1:17">
      <c r="A222">
        <v>221</v>
      </c>
      <c r="B222" t="s">
        <v>233</v>
      </c>
      <c r="C222" s="2"/>
      <c r="D222">
        <f>C222 * VLOOKUP("adipura", inject!A:B, 2, FALSE)</f>
        <v>0</v>
      </c>
      <c r="E222" s="2"/>
      <c r="F222" s="2"/>
      <c r="G222">
        <f>F222 * VLOOKUP("adiwiyata", inject!A:B, 2, FALSE)</f>
        <v>0</v>
      </c>
      <c r="H222" s="2"/>
      <c r="I222" s="2"/>
      <c r="J222">
        <f>I222 * VLOOKUP("proklim", inject!A:B, 2, FALSE)</f>
        <v>0</v>
      </c>
      <c r="K222" s="2"/>
      <c r="L222" s="2"/>
      <c r="M222">
        <f>L222 * VLOOKUP("proper", inject!A:B, 2, FALSE)</f>
        <v>0</v>
      </c>
      <c r="N222" s="2"/>
      <c r="O222" s="2"/>
      <c r="P222">
        <f>O222 * VLOOKUP("kaltaparu", inject!A:B, 2, FALSE)</f>
        <v>0</v>
      </c>
      <c r="Q222" s="2"/>
    </row>
    <row r="223" spans="1:17">
      <c r="A223">
        <v>222</v>
      </c>
      <c r="B223" t="s">
        <v>234</v>
      </c>
      <c r="C223" s="2"/>
      <c r="D223">
        <f>C223 * VLOOKUP("adipura", inject!A:B, 2, FALSE)</f>
        <v>0</v>
      </c>
      <c r="E223" s="2"/>
      <c r="F223" s="2"/>
      <c r="G223">
        <f>F223 * VLOOKUP("adiwiyata", inject!A:B, 2, FALSE)</f>
        <v>0</v>
      </c>
      <c r="H223" s="2"/>
      <c r="I223" s="2"/>
      <c r="J223">
        <f>I223 * VLOOKUP("proklim", inject!A:B, 2, FALSE)</f>
        <v>0</v>
      </c>
      <c r="K223" s="2"/>
      <c r="L223" s="2"/>
      <c r="M223">
        <f>L223 * VLOOKUP("proper", inject!A:B, 2, FALSE)</f>
        <v>0</v>
      </c>
      <c r="N223" s="2"/>
      <c r="O223" s="2"/>
      <c r="P223">
        <f>O223 * VLOOKUP("kaltaparu", inject!A:B, 2, FALSE)</f>
        <v>0</v>
      </c>
      <c r="Q223" s="2"/>
    </row>
    <row r="224" spans="1:17">
      <c r="A224">
        <v>223</v>
      </c>
      <c r="B224" t="s">
        <v>235</v>
      </c>
      <c r="C224" s="2"/>
      <c r="D224">
        <f>C224 * VLOOKUP("adipura", inject!A:B, 2, FALSE)</f>
        <v>0</v>
      </c>
      <c r="E224" s="2"/>
      <c r="F224" s="2"/>
      <c r="G224">
        <f>F224 * VLOOKUP("adiwiyata", inject!A:B, 2, FALSE)</f>
        <v>0</v>
      </c>
      <c r="H224" s="2"/>
      <c r="I224" s="2"/>
      <c r="J224">
        <f>I224 * VLOOKUP("proklim", inject!A:B, 2, FALSE)</f>
        <v>0</v>
      </c>
      <c r="K224" s="2"/>
      <c r="L224" s="2"/>
      <c r="M224">
        <f>L224 * VLOOKUP("proper", inject!A:B, 2, FALSE)</f>
        <v>0</v>
      </c>
      <c r="N224" s="2"/>
      <c r="O224" s="2"/>
      <c r="P224">
        <f>O224 * VLOOKUP("kaltaparu", inject!A:B, 2, FALSE)</f>
        <v>0</v>
      </c>
      <c r="Q224" s="2"/>
    </row>
    <row r="225" spans="1:17">
      <c r="A225">
        <v>224</v>
      </c>
      <c r="B225" t="s">
        <v>236</v>
      </c>
      <c r="C225" s="2"/>
      <c r="D225">
        <f>C225 * VLOOKUP("adipura", inject!A:B, 2, FALSE)</f>
        <v>0</v>
      </c>
      <c r="E225" s="2"/>
      <c r="F225" s="2"/>
      <c r="G225">
        <f>F225 * VLOOKUP("adiwiyata", inject!A:B, 2, FALSE)</f>
        <v>0</v>
      </c>
      <c r="H225" s="2"/>
      <c r="I225" s="2"/>
      <c r="J225">
        <f>I225 * VLOOKUP("proklim", inject!A:B, 2, FALSE)</f>
        <v>0</v>
      </c>
      <c r="K225" s="2"/>
      <c r="L225" s="2"/>
      <c r="M225">
        <f>L225 * VLOOKUP("proper", inject!A:B, 2, FALSE)</f>
        <v>0</v>
      </c>
      <c r="N225" s="2"/>
      <c r="O225" s="2"/>
      <c r="P225">
        <f>O225 * VLOOKUP("kaltaparu", inject!A:B, 2, FALSE)</f>
        <v>0</v>
      </c>
      <c r="Q225" s="2"/>
    </row>
    <row r="226" spans="1:17">
      <c r="A226">
        <v>225</v>
      </c>
      <c r="B226" t="s">
        <v>237</v>
      </c>
      <c r="C226" s="2"/>
      <c r="D226">
        <f>C226 * VLOOKUP("adipura", inject!A:B, 2, FALSE)</f>
        <v>0</v>
      </c>
      <c r="E226" s="2"/>
      <c r="F226" s="2"/>
      <c r="G226">
        <f>F226 * VLOOKUP("adiwiyata", inject!A:B, 2, FALSE)</f>
        <v>0</v>
      </c>
      <c r="H226" s="2"/>
      <c r="I226" s="2"/>
      <c r="J226">
        <f>I226 * VLOOKUP("proklim", inject!A:B, 2, FALSE)</f>
        <v>0</v>
      </c>
      <c r="K226" s="2"/>
      <c r="L226" s="2"/>
      <c r="M226">
        <f>L226 * VLOOKUP("proper", inject!A:B, 2, FALSE)</f>
        <v>0</v>
      </c>
      <c r="N226" s="2"/>
      <c r="O226" s="2"/>
      <c r="P226">
        <f>O226 * VLOOKUP("kaltaparu", inject!A:B, 2, FALSE)</f>
        <v>0</v>
      </c>
      <c r="Q226" s="2"/>
    </row>
    <row r="227" spans="1:17">
      <c r="A227">
        <v>226</v>
      </c>
      <c r="B227" t="s">
        <v>238</v>
      </c>
      <c r="C227" s="2"/>
      <c r="D227">
        <f>C227 * VLOOKUP("adipura", inject!A:B, 2, FALSE)</f>
        <v>0</v>
      </c>
      <c r="E227" s="2"/>
      <c r="F227" s="2"/>
      <c r="G227">
        <f>F227 * VLOOKUP("adiwiyata", inject!A:B, 2, FALSE)</f>
        <v>0</v>
      </c>
      <c r="H227" s="2"/>
      <c r="I227" s="2"/>
      <c r="J227">
        <f>I227 * VLOOKUP("proklim", inject!A:B, 2, FALSE)</f>
        <v>0</v>
      </c>
      <c r="K227" s="2"/>
      <c r="L227" s="2"/>
      <c r="M227">
        <f>L227 * VLOOKUP("proper", inject!A:B, 2, FALSE)</f>
        <v>0</v>
      </c>
      <c r="N227" s="2"/>
      <c r="O227" s="2"/>
      <c r="P227">
        <f>O227 * VLOOKUP("kaltaparu", inject!A:B, 2, FALSE)</f>
        <v>0</v>
      </c>
      <c r="Q227" s="2"/>
    </row>
    <row r="228" spans="1:17">
      <c r="A228">
        <v>227</v>
      </c>
      <c r="B228" t="s">
        <v>239</v>
      </c>
      <c r="C228" s="2"/>
      <c r="D228">
        <f>C228 * VLOOKUP("adipura", inject!A:B, 2, FALSE)</f>
        <v>0</v>
      </c>
      <c r="E228" s="2"/>
      <c r="F228" s="2"/>
      <c r="G228">
        <f>F228 * VLOOKUP("adiwiyata", inject!A:B, 2, FALSE)</f>
        <v>0</v>
      </c>
      <c r="H228" s="2"/>
      <c r="I228" s="2"/>
      <c r="J228">
        <f>I228 * VLOOKUP("proklim", inject!A:B, 2, FALSE)</f>
        <v>0</v>
      </c>
      <c r="K228" s="2"/>
      <c r="L228" s="2"/>
      <c r="M228">
        <f>L228 * VLOOKUP("proper", inject!A:B, 2, FALSE)</f>
        <v>0</v>
      </c>
      <c r="N228" s="2"/>
      <c r="O228" s="2"/>
      <c r="P228">
        <f>O228 * VLOOKUP("kaltaparu", inject!A:B, 2, FALSE)</f>
        <v>0</v>
      </c>
      <c r="Q228" s="2"/>
    </row>
    <row r="229" spans="1:17">
      <c r="A229">
        <v>228</v>
      </c>
      <c r="B229" t="s">
        <v>240</v>
      </c>
      <c r="C229" s="2"/>
      <c r="D229">
        <f>C229 * VLOOKUP("adipura", inject!A:B, 2, FALSE)</f>
        <v>0</v>
      </c>
      <c r="E229" s="2"/>
      <c r="F229" s="2"/>
      <c r="G229">
        <f>F229 * VLOOKUP("adiwiyata", inject!A:B, 2, FALSE)</f>
        <v>0</v>
      </c>
      <c r="H229" s="2"/>
      <c r="I229" s="2"/>
      <c r="J229">
        <f>I229 * VLOOKUP("proklim", inject!A:B, 2, FALSE)</f>
        <v>0</v>
      </c>
      <c r="K229" s="2"/>
      <c r="L229" s="2"/>
      <c r="M229">
        <f>L229 * VLOOKUP("proper", inject!A:B, 2, FALSE)</f>
        <v>0</v>
      </c>
      <c r="N229" s="2"/>
      <c r="O229" s="2"/>
      <c r="P229">
        <f>O229 * VLOOKUP("kaltaparu", inject!A:B, 2, FALSE)</f>
        <v>0</v>
      </c>
      <c r="Q229" s="2"/>
    </row>
    <row r="230" spans="1:17">
      <c r="A230">
        <v>229</v>
      </c>
      <c r="B230" t="s">
        <v>241</v>
      </c>
      <c r="C230" s="2"/>
      <c r="D230">
        <f>C230 * VLOOKUP("adipura", inject!A:B, 2, FALSE)</f>
        <v>0</v>
      </c>
      <c r="E230" s="2"/>
      <c r="F230" s="2"/>
      <c r="G230">
        <f>F230 * VLOOKUP("adiwiyata", inject!A:B, 2, FALSE)</f>
        <v>0</v>
      </c>
      <c r="H230" s="2"/>
      <c r="I230" s="2"/>
      <c r="J230">
        <f>I230 * VLOOKUP("proklim", inject!A:B, 2, FALSE)</f>
        <v>0</v>
      </c>
      <c r="K230" s="2"/>
      <c r="L230" s="2"/>
      <c r="M230">
        <f>L230 * VLOOKUP("proper", inject!A:B, 2, FALSE)</f>
        <v>0</v>
      </c>
      <c r="N230" s="2"/>
      <c r="O230" s="2"/>
      <c r="P230">
        <f>O230 * VLOOKUP("kaltaparu", inject!A:B, 2, FALSE)</f>
        <v>0</v>
      </c>
      <c r="Q230" s="2"/>
    </row>
    <row r="231" spans="1:17">
      <c r="A231">
        <v>230</v>
      </c>
      <c r="B231" t="s">
        <v>242</v>
      </c>
      <c r="C231" s="2"/>
      <c r="D231">
        <f>C231 * VLOOKUP("adipura", inject!A:B, 2, FALSE)</f>
        <v>0</v>
      </c>
      <c r="E231" s="2"/>
      <c r="F231" s="2"/>
      <c r="G231">
        <f>F231 * VLOOKUP("adiwiyata", inject!A:B, 2, FALSE)</f>
        <v>0</v>
      </c>
      <c r="H231" s="2"/>
      <c r="I231" s="2"/>
      <c r="J231">
        <f>I231 * VLOOKUP("proklim", inject!A:B, 2, FALSE)</f>
        <v>0</v>
      </c>
      <c r="K231" s="2"/>
      <c r="L231" s="2"/>
      <c r="M231">
        <f>L231 * VLOOKUP("proper", inject!A:B, 2, FALSE)</f>
        <v>0</v>
      </c>
      <c r="N231" s="2"/>
      <c r="O231" s="2"/>
      <c r="P231">
        <f>O231 * VLOOKUP("kaltaparu", inject!A:B, 2, FALSE)</f>
        <v>0</v>
      </c>
      <c r="Q231" s="2"/>
    </row>
    <row r="232" spans="1:17">
      <c r="A232">
        <v>231</v>
      </c>
      <c r="B232" t="s">
        <v>243</v>
      </c>
      <c r="C232" s="2"/>
      <c r="D232">
        <f>C232 * VLOOKUP("adipura", inject!A:B, 2, FALSE)</f>
        <v>0</v>
      </c>
      <c r="E232" s="2"/>
      <c r="F232" s="2"/>
      <c r="G232">
        <f>F232 * VLOOKUP("adiwiyata", inject!A:B, 2, FALSE)</f>
        <v>0</v>
      </c>
      <c r="H232" s="2"/>
      <c r="I232" s="2"/>
      <c r="J232">
        <f>I232 * VLOOKUP("proklim", inject!A:B, 2, FALSE)</f>
        <v>0</v>
      </c>
      <c r="K232" s="2"/>
      <c r="L232" s="2"/>
      <c r="M232">
        <f>L232 * VLOOKUP("proper", inject!A:B, 2, FALSE)</f>
        <v>0</v>
      </c>
      <c r="N232" s="2"/>
      <c r="O232" s="2"/>
      <c r="P232">
        <f>O232 * VLOOKUP("kaltaparu", inject!A:B, 2, FALSE)</f>
        <v>0</v>
      </c>
      <c r="Q232" s="2"/>
    </row>
    <row r="233" spans="1:17">
      <c r="A233">
        <v>232</v>
      </c>
      <c r="B233" t="s">
        <v>244</v>
      </c>
      <c r="C233" s="2"/>
      <c r="D233">
        <f>C233 * VLOOKUP("adipura", inject!A:B, 2, FALSE)</f>
        <v>0</v>
      </c>
      <c r="E233" s="2"/>
      <c r="F233" s="2"/>
      <c r="G233">
        <f>F233 * VLOOKUP("adiwiyata", inject!A:B, 2, FALSE)</f>
        <v>0</v>
      </c>
      <c r="H233" s="2"/>
      <c r="I233" s="2"/>
      <c r="J233">
        <f>I233 * VLOOKUP("proklim", inject!A:B, 2, FALSE)</f>
        <v>0</v>
      </c>
      <c r="K233" s="2"/>
      <c r="L233" s="2"/>
      <c r="M233">
        <f>L233 * VLOOKUP("proper", inject!A:B, 2, FALSE)</f>
        <v>0</v>
      </c>
      <c r="N233" s="2"/>
      <c r="O233" s="2"/>
      <c r="P233">
        <f>O233 * VLOOKUP("kaltaparu", inject!A:B, 2, FALSE)</f>
        <v>0</v>
      </c>
      <c r="Q233" s="2"/>
    </row>
    <row r="234" spans="1:17">
      <c r="A234">
        <v>233</v>
      </c>
      <c r="B234" t="s">
        <v>245</v>
      </c>
      <c r="C234" s="2"/>
      <c r="D234">
        <f>C234 * VLOOKUP("adipura", inject!A:B, 2, FALSE)</f>
        <v>0</v>
      </c>
      <c r="E234" s="2"/>
      <c r="F234" s="2"/>
      <c r="G234">
        <f>F234 * VLOOKUP("adiwiyata", inject!A:B, 2, FALSE)</f>
        <v>0</v>
      </c>
      <c r="H234" s="2"/>
      <c r="I234" s="2"/>
      <c r="J234">
        <f>I234 * VLOOKUP("proklim", inject!A:B, 2, FALSE)</f>
        <v>0</v>
      </c>
      <c r="K234" s="2"/>
      <c r="L234" s="2"/>
      <c r="M234">
        <f>L234 * VLOOKUP("proper", inject!A:B, 2, FALSE)</f>
        <v>0</v>
      </c>
      <c r="N234" s="2"/>
      <c r="O234" s="2"/>
      <c r="P234">
        <f>O234 * VLOOKUP("kaltaparu", inject!A:B, 2, FALSE)</f>
        <v>0</v>
      </c>
      <c r="Q234" s="2"/>
    </row>
    <row r="235" spans="1:17">
      <c r="A235">
        <v>234</v>
      </c>
      <c r="B235" t="s">
        <v>246</v>
      </c>
      <c r="C235" s="2"/>
      <c r="D235">
        <f>C235 * VLOOKUP("adipura", inject!A:B, 2, FALSE)</f>
        <v>0</v>
      </c>
      <c r="E235" s="2"/>
      <c r="F235" s="2"/>
      <c r="G235">
        <f>F235 * VLOOKUP("adiwiyata", inject!A:B, 2, FALSE)</f>
        <v>0</v>
      </c>
      <c r="H235" s="2"/>
      <c r="I235" s="2"/>
      <c r="J235">
        <f>I235 * VLOOKUP("proklim", inject!A:B, 2, FALSE)</f>
        <v>0</v>
      </c>
      <c r="K235" s="2"/>
      <c r="L235" s="2"/>
      <c r="M235">
        <f>L235 * VLOOKUP("proper", inject!A:B, 2, FALSE)</f>
        <v>0</v>
      </c>
      <c r="N235" s="2"/>
      <c r="O235" s="2"/>
      <c r="P235">
        <f>O235 * VLOOKUP("kaltaparu", inject!A:B, 2, FALSE)</f>
        <v>0</v>
      </c>
      <c r="Q235" s="2"/>
    </row>
    <row r="236" spans="1:17">
      <c r="A236">
        <v>235</v>
      </c>
      <c r="B236" t="s">
        <v>247</v>
      </c>
      <c r="C236" s="2"/>
      <c r="D236">
        <f>C236 * VLOOKUP("adipura", inject!A:B, 2, FALSE)</f>
        <v>0</v>
      </c>
      <c r="E236" s="2"/>
      <c r="F236" s="2"/>
      <c r="G236">
        <f>F236 * VLOOKUP("adiwiyata", inject!A:B, 2, FALSE)</f>
        <v>0</v>
      </c>
      <c r="H236" s="2"/>
      <c r="I236" s="2"/>
      <c r="J236">
        <f>I236 * VLOOKUP("proklim", inject!A:B, 2, FALSE)</f>
        <v>0</v>
      </c>
      <c r="K236" s="2"/>
      <c r="L236" s="2"/>
      <c r="M236">
        <f>L236 * VLOOKUP("proper", inject!A:B, 2, FALSE)</f>
        <v>0</v>
      </c>
      <c r="N236" s="2"/>
      <c r="O236" s="2"/>
      <c r="P236">
        <f>O236 * VLOOKUP("kaltaparu", inject!A:B, 2, FALSE)</f>
        <v>0</v>
      </c>
      <c r="Q236" s="2"/>
    </row>
    <row r="237" spans="1:17">
      <c r="A237">
        <v>236</v>
      </c>
      <c r="B237" t="s">
        <v>248</v>
      </c>
      <c r="C237" s="2"/>
      <c r="D237">
        <f>C237 * VLOOKUP("adipura", inject!A:B, 2, FALSE)</f>
        <v>0</v>
      </c>
      <c r="E237" s="2"/>
      <c r="F237" s="2"/>
      <c r="G237">
        <f>F237 * VLOOKUP("adiwiyata", inject!A:B, 2, FALSE)</f>
        <v>0</v>
      </c>
      <c r="H237" s="2"/>
      <c r="I237" s="2"/>
      <c r="J237">
        <f>I237 * VLOOKUP("proklim", inject!A:B, 2, FALSE)</f>
        <v>0</v>
      </c>
      <c r="K237" s="2"/>
      <c r="L237" s="2"/>
      <c r="M237">
        <f>L237 * VLOOKUP("proper", inject!A:B, 2, FALSE)</f>
        <v>0</v>
      </c>
      <c r="N237" s="2"/>
      <c r="O237" s="2"/>
      <c r="P237">
        <f>O237 * VLOOKUP("kaltaparu", inject!A:B, 2, FALSE)</f>
        <v>0</v>
      </c>
      <c r="Q237" s="2"/>
    </row>
    <row r="238" spans="1:17">
      <c r="A238">
        <v>237</v>
      </c>
      <c r="B238" t="s">
        <v>249</v>
      </c>
      <c r="C238" s="2"/>
      <c r="D238">
        <f>C238 * VLOOKUP("adipura", inject!A:B, 2, FALSE)</f>
        <v>0</v>
      </c>
      <c r="E238" s="2"/>
      <c r="F238" s="2"/>
      <c r="G238">
        <f>F238 * VLOOKUP("adiwiyata", inject!A:B, 2, FALSE)</f>
        <v>0</v>
      </c>
      <c r="H238" s="2"/>
      <c r="I238" s="2"/>
      <c r="J238">
        <f>I238 * VLOOKUP("proklim", inject!A:B, 2, FALSE)</f>
        <v>0</v>
      </c>
      <c r="K238" s="2"/>
      <c r="L238" s="2"/>
      <c r="M238">
        <f>L238 * VLOOKUP("proper", inject!A:B, 2, FALSE)</f>
        <v>0</v>
      </c>
      <c r="N238" s="2"/>
      <c r="O238" s="2"/>
      <c r="P238">
        <f>O238 * VLOOKUP("kaltaparu", inject!A:B, 2, FALSE)</f>
        <v>0</v>
      </c>
      <c r="Q238" s="2"/>
    </row>
    <row r="239" spans="1:17">
      <c r="A239">
        <v>238</v>
      </c>
      <c r="B239" t="s">
        <v>250</v>
      </c>
      <c r="C239" s="2"/>
      <c r="D239">
        <f>C239 * VLOOKUP("adipura", inject!A:B, 2, FALSE)</f>
        <v>0</v>
      </c>
      <c r="E239" s="2"/>
      <c r="F239" s="2"/>
      <c r="G239">
        <f>F239 * VLOOKUP("adiwiyata", inject!A:B, 2, FALSE)</f>
        <v>0</v>
      </c>
      <c r="H239" s="2"/>
      <c r="I239" s="2"/>
      <c r="J239">
        <f>I239 * VLOOKUP("proklim", inject!A:B, 2, FALSE)</f>
        <v>0</v>
      </c>
      <c r="K239" s="2"/>
      <c r="L239" s="2"/>
      <c r="M239">
        <f>L239 * VLOOKUP("proper", inject!A:B, 2, FALSE)</f>
        <v>0</v>
      </c>
      <c r="N239" s="2"/>
      <c r="O239" s="2"/>
      <c r="P239">
        <f>O239 * VLOOKUP("kaltaparu", inject!A:B, 2, FALSE)</f>
        <v>0</v>
      </c>
      <c r="Q239" s="2"/>
    </row>
    <row r="240" spans="1:17">
      <c r="A240">
        <v>239</v>
      </c>
      <c r="B240" t="s">
        <v>251</v>
      </c>
      <c r="C240" s="2"/>
      <c r="D240">
        <f>C240 * VLOOKUP("adipura", inject!A:B, 2, FALSE)</f>
        <v>0</v>
      </c>
      <c r="E240" s="2"/>
      <c r="F240" s="2"/>
      <c r="G240">
        <f>F240 * VLOOKUP("adiwiyata", inject!A:B, 2, FALSE)</f>
        <v>0</v>
      </c>
      <c r="H240" s="2"/>
      <c r="I240" s="2"/>
      <c r="J240">
        <f>I240 * VLOOKUP("proklim", inject!A:B, 2, FALSE)</f>
        <v>0</v>
      </c>
      <c r="K240" s="2"/>
      <c r="L240" s="2"/>
      <c r="M240">
        <f>L240 * VLOOKUP("proper", inject!A:B, 2, FALSE)</f>
        <v>0</v>
      </c>
      <c r="N240" s="2"/>
      <c r="O240" s="2"/>
      <c r="P240">
        <f>O240 * VLOOKUP("kaltaparu", inject!A:B, 2, FALSE)</f>
        <v>0</v>
      </c>
      <c r="Q240" s="2"/>
    </row>
    <row r="241" spans="1:17">
      <c r="A241">
        <v>240</v>
      </c>
      <c r="B241" t="s">
        <v>252</v>
      </c>
      <c r="C241" s="2"/>
      <c r="D241">
        <f>C241 * VLOOKUP("adipura", inject!A:B, 2, FALSE)</f>
        <v>0</v>
      </c>
      <c r="E241" s="2"/>
      <c r="F241" s="2"/>
      <c r="G241">
        <f>F241 * VLOOKUP("adiwiyata", inject!A:B, 2, FALSE)</f>
        <v>0</v>
      </c>
      <c r="H241" s="2"/>
      <c r="I241" s="2"/>
      <c r="J241">
        <f>I241 * VLOOKUP("proklim", inject!A:B, 2, FALSE)</f>
        <v>0</v>
      </c>
      <c r="K241" s="2"/>
      <c r="L241" s="2"/>
      <c r="M241">
        <f>L241 * VLOOKUP("proper", inject!A:B, 2, FALSE)</f>
        <v>0</v>
      </c>
      <c r="N241" s="2"/>
      <c r="O241" s="2"/>
      <c r="P241">
        <f>O241 * VLOOKUP("kaltaparu", inject!A:B, 2, FALSE)</f>
        <v>0</v>
      </c>
      <c r="Q241" s="2"/>
    </row>
    <row r="242" spans="1:17">
      <c r="A242">
        <v>241</v>
      </c>
      <c r="B242" t="s">
        <v>253</v>
      </c>
      <c r="C242" s="2"/>
      <c r="D242">
        <f>C242 * VLOOKUP("adipura", inject!A:B, 2, FALSE)</f>
        <v>0</v>
      </c>
      <c r="E242" s="2"/>
      <c r="F242" s="2"/>
      <c r="G242">
        <f>F242 * VLOOKUP("adiwiyata", inject!A:B, 2, FALSE)</f>
        <v>0</v>
      </c>
      <c r="H242" s="2"/>
      <c r="I242" s="2"/>
      <c r="J242">
        <f>I242 * VLOOKUP("proklim", inject!A:B, 2, FALSE)</f>
        <v>0</v>
      </c>
      <c r="K242" s="2"/>
      <c r="L242" s="2"/>
      <c r="M242">
        <f>L242 * VLOOKUP("proper", inject!A:B, 2, FALSE)</f>
        <v>0</v>
      </c>
      <c r="N242" s="2"/>
      <c r="O242" s="2"/>
      <c r="P242">
        <f>O242 * VLOOKUP("kaltaparu", inject!A:B, 2, FALSE)</f>
        <v>0</v>
      </c>
      <c r="Q242" s="2"/>
    </row>
    <row r="243" spans="1:17">
      <c r="A243">
        <v>242</v>
      </c>
      <c r="B243" t="s">
        <v>254</v>
      </c>
      <c r="C243" s="2"/>
      <c r="D243">
        <f>C243 * VLOOKUP("adipura", inject!A:B, 2, FALSE)</f>
        <v>0</v>
      </c>
      <c r="E243" s="2"/>
      <c r="F243" s="2"/>
      <c r="G243">
        <f>F243 * VLOOKUP("adiwiyata", inject!A:B, 2, FALSE)</f>
        <v>0</v>
      </c>
      <c r="H243" s="2"/>
      <c r="I243" s="2"/>
      <c r="J243">
        <f>I243 * VLOOKUP("proklim", inject!A:B, 2, FALSE)</f>
        <v>0</v>
      </c>
      <c r="K243" s="2"/>
      <c r="L243" s="2"/>
      <c r="M243">
        <f>L243 * VLOOKUP("proper", inject!A:B, 2, FALSE)</f>
        <v>0</v>
      </c>
      <c r="N243" s="2"/>
      <c r="O243" s="2"/>
      <c r="P243">
        <f>O243 * VLOOKUP("kaltaparu", inject!A:B, 2, FALSE)</f>
        <v>0</v>
      </c>
      <c r="Q243" s="2"/>
    </row>
    <row r="244" spans="1:17">
      <c r="A244">
        <v>243</v>
      </c>
      <c r="B244" t="s">
        <v>255</v>
      </c>
      <c r="C244" s="2"/>
      <c r="D244">
        <f>C244 * VLOOKUP("adipura", inject!A:B, 2, FALSE)</f>
        <v>0</v>
      </c>
      <c r="E244" s="2"/>
      <c r="F244" s="2"/>
      <c r="G244">
        <f>F244 * VLOOKUP("adiwiyata", inject!A:B, 2, FALSE)</f>
        <v>0</v>
      </c>
      <c r="H244" s="2"/>
      <c r="I244" s="2"/>
      <c r="J244">
        <f>I244 * VLOOKUP("proklim", inject!A:B, 2, FALSE)</f>
        <v>0</v>
      </c>
      <c r="K244" s="2"/>
      <c r="L244" s="2"/>
      <c r="M244">
        <f>L244 * VLOOKUP("proper", inject!A:B, 2, FALSE)</f>
        <v>0</v>
      </c>
      <c r="N244" s="2"/>
      <c r="O244" s="2"/>
      <c r="P244">
        <f>O244 * VLOOKUP("kaltaparu", inject!A:B, 2, FALSE)</f>
        <v>0</v>
      </c>
      <c r="Q244" s="2"/>
    </row>
    <row r="245" spans="1:17">
      <c r="A245">
        <v>244</v>
      </c>
      <c r="B245" t="s">
        <v>256</v>
      </c>
      <c r="C245" s="2"/>
      <c r="D245">
        <f>C245 * VLOOKUP("adipura", inject!A:B, 2, FALSE)</f>
        <v>0</v>
      </c>
      <c r="E245" s="2"/>
      <c r="F245" s="2"/>
      <c r="G245">
        <f>F245 * VLOOKUP("adiwiyata", inject!A:B, 2, FALSE)</f>
        <v>0</v>
      </c>
      <c r="H245" s="2"/>
      <c r="I245" s="2"/>
      <c r="J245">
        <f>I245 * VLOOKUP("proklim", inject!A:B, 2, FALSE)</f>
        <v>0</v>
      </c>
      <c r="K245" s="2"/>
      <c r="L245" s="2"/>
      <c r="M245">
        <f>L245 * VLOOKUP("proper", inject!A:B, 2, FALSE)</f>
        <v>0</v>
      </c>
      <c r="N245" s="2"/>
      <c r="O245" s="2"/>
      <c r="P245">
        <f>O245 * VLOOKUP("kaltaparu", inject!A:B, 2, FALSE)</f>
        <v>0</v>
      </c>
      <c r="Q245" s="2"/>
    </row>
    <row r="246" spans="1:17">
      <c r="A246">
        <v>245</v>
      </c>
      <c r="B246" t="s">
        <v>257</v>
      </c>
      <c r="C246" s="2"/>
      <c r="D246">
        <f>C246 * VLOOKUP("adipura", inject!A:B, 2, FALSE)</f>
        <v>0</v>
      </c>
      <c r="E246" s="2"/>
      <c r="F246" s="2"/>
      <c r="G246">
        <f>F246 * VLOOKUP("adiwiyata", inject!A:B, 2, FALSE)</f>
        <v>0</v>
      </c>
      <c r="H246" s="2"/>
      <c r="I246" s="2"/>
      <c r="J246">
        <f>I246 * VLOOKUP("proklim", inject!A:B, 2, FALSE)</f>
        <v>0</v>
      </c>
      <c r="K246" s="2"/>
      <c r="L246" s="2"/>
      <c r="M246">
        <f>L246 * VLOOKUP("proper", inject!A:B, 2, FALSE)</f>
        <v>0</v>
      </c>
      <c r="N246" s="2"/>
      <c r="O246" s="2"/>
      <c r="P246">
        <f>O246 * VLOOKUP("kaltaparu", inject!A:B, 2, FALSE)</f>
        <v>0</v>
      </c>
      <c r="Q246" s="2"/>
    </row>
    <row r="247" spans="1:17">
      <c r="A247">
        <v>246</v>
      </c>
      <c r="B247" t="s">
        <v>258</v>
      </c>
      <c r="C247" s="2"/>
      <c r="D247">
        <f>C247 * VLOOKUP("adipura", inject!A:B, 2, FALSE)</f>
        <v>0</v>
      </c>
      <c r="E247" s="2"/>
      <c r="F247" s="2"/>
      <c r="G247">
        <f>F247 * VLOOKUP("adiwiyata", inject!A:B, 2, FALSE)</f>
        <v>0</v>
      </c>
      <c r="H247" s="2"/>
      <c r="I247" s="2"/>
      <c r="J247">
        <f>I247 * VLOOKUP("proklim", inject!A:B, 2, FALSE)</f>
        <v>0</v>
      </c>
      <c r="K247" s="2"/>
      <c r="L247" s="2"/>
      <c r="M247">
        <f>L247 * VLOOKUP("proper", inject!A:B, 2, FALSE)</f>
        <v>0</v>
      </c>
      <c r="N247" s="2"/>
      <c r="O247" s="2"/>
      <c r="P247">
        <f>O247 * VLOOKUP("kaltaparu", inject!A:B, 2, FALSE)</f>
        <v>0</v>
      </c>
      <c r="Q247" s="2"/>
    </row>
    <row r="248" spans="1:17">
      <c r="A248">
        <v>247</v>
      </c>
      <c r="B248" t="s">
        <v>259</v>
      </c>
      <c r="C248" s="2"/>
      <c r="D248">
        <f>C248 * VLOOKUP("adipura", inject!A:B, 2, FALSE)</f>
        <v>0</v>
      </c>
      <c r="E248" s="2"/>
      <c r="F248" s="2"/>
      <c r="G248">
        <f>F248 * VLOOKUP("adiwiyata", inject!A:B, 2, FALSE)</f>
        <v>0</v>
      </c>
      <c r="H248" s="2"/>
      <c r="I248" s="2"/>
      <c r="J248">
        <f>I248 * VLOOKUP("proklim", inject!A:B, 2, FALSE)</f>
        <v>0</v>
      </c>
      <c r="K248" s="2"/>
      <c r="L248" s="2"/>
      <c r="M248">
        <f>L248 * VLOOKUP("proper", inject!A:B, 2, FALSE)</f>
        <v>0</v>
      </c>
      <c r="N248" s="2"/>
      <c r="O248" s="2"/>
      <c r="P248">
        <f>O248 * VLOOKUP("kaltaparu", inject!A:B, 2, FALSE)</f>
        <v>0</v>
      </c>
      <c r="Q248" s="2"/>
    </row>
    <row r="249" spans="1:17">
      <c r="A249">
        <v>248</v>
      </c>
      <c r="B249" t="s">
        <v>260</v>
      </c>
      <c r="C249" s="2"/>
      <c r="D249">
        <f>C249 * VLOOKUP("adipura", inject!A:B, 2, FALSE)</f>
        <v>0</v>
      </c>
      <c r="E249" s="2"/>
      <c r="F249" s="2"/>
      <c r="G249">
        <f>F249 * VLOOKUP("adiwiyata", inject!A:B, 2, FALSE)</f>
        <v>0</v>
      </c>
      <c r="H249" s="2"/>
      <c r="I249" s="2"/>
      <c r="J249">
        <f>I249 * VLOOKUP("proklim", inject!A:B, 2, FALSE)</f>
        <v>0</v>
      </c>
      <c r="K249" s="2"/>
      <c r="L249" s="2"/>
      <c r="M249">
        <f>L249 * VLOOKUP("proper", inject!A:B, 2, FALSE)</f>
        <v>0</v>
      </c>
      <c r="N249" s="2"/>
      <c r="O249" s="2"/>
      <c r="P249">
        <f>O249 * VLOOKUP("kaltaparu", inject!A:B, 2, FALSE)</f>
        <v>0</v>
      </c>
      <c r="Q249" s="2"/>
    </row>
    <row r="250" spans="1:17">
      <c r="A250">
        <v>249</v>
      </c>
      <c r="B250" t="s">
        <v>261</v>
      </c>
      <c r="C250" s="2"/>
      <c r="D250">
        <f>C250 * VLOOKUP("adipura", inject!A:B, 2, FALSE)</f>
        <v>0</v>
      </c>
      <c r="E250" s="2"/>
      <c r="F250" s="2"/>
      <c r="G250">
        <f>F250 * VLOOKUP("adiwiyata", inject!A:B, 2, FALSE)</f>
        <v>0</v>
      </c>
      <c r="H250" s="2"/>
      <c r="I250" s="2"/>
      <c r="J250">
        <f>I250 * VLOOKUP("proklim", inject!A:B, 2, FALSE)</f>
        <v>0</v>
      </c>
      <c r="K250" s="2"/>
      <c r="L250" s="2"/>
      <c r="M250">
        <f>L250 * VLOOKUP("proper", inject!A:B, 2, FALSE)</f>
        <v>0</v>
      </c>
      <c r="N250" s="2"/>
      <c r="O250" s="2"/>
      <c r="P250">
        <f>O250 * VLOOKUP("kaltaparu", inject!A:B, 2, FALSE)</f>
        <v>0</v>
      </c>
      <c r="Q250" s="2"/>
    </row>
    <row r="251" spans="1:17">
      <c r="A251">
        <v>250</v>
      </c>
      <c r="B251" t="s">
        <v>262</v>
      </c>
      <c r="C251" s="2"/>
      <c r="D251">
        <f>C251 * VLOOKUP("adipura", inject!A:B, 2, FALSE)</f>
        <v>0</v>
      </c>
      <c r="E251" s="2"/>
      <c r="F251" s="2"/>
      <c r="G251">
        <f>F251 * VLOOKUP("adiwiyata", inject!A:B, 2, FALSE)</f>
        <v>0</v>
      </c>
      <c r="H251" s="2"/>
      <c r="I251" s="2"/>
      <c r="J251">
        <f>I251 * VLOOKUP("proklim", inject!A:B, 2, FALSE)</f>
        <v>0</v>
      </c>
      <c r="K251" s="2"/>
      <c r="L251" s="2"/>
      <c r="M251">
        <f>L251 * VLOOKUP("proper", inject!A:B, 2, FALSE)</f>
        <v>0</v>
      </c>
      <c r="N251" s="2"/>
      <c r="O251" s="2"/>
      <c r="P251">
        <f>O251 * VLOOKUP("kaltaparu", inject!A:B, 2, FALSE)</f>
        <v>0</v>
      </c>
      <c r="Q251" s="2"/>
    </row>
    <row r="252" spans="1:17">
      <c r="A252">
        <v>251</v>
      </c>
      <c r="B252" t="s">
        <v>263</v>
      </c>
      <c r="C252" s="2"/>
      <c r="D252">
        <f>C252 * VLOOKUP("adipura", inject!A:B, 2, FALSE)</f>
        <v>0</v>
      </c>
      <c r="E252" s="2"/>
      <c r="F252" s="2"/>
      <c r="G252">
        <f>F252 * VLOOKUP("adiwiyata", inject!A:B, 2, FALSE)</f>
        <v>0</v>
      </c>
      <c r="H252" s="2"/>
      <c r="I252" s="2"/>
      <c r="J252">
        <f>I252 * VLOOKUP("proklim", inject!A:B, 2, FALSE)</f>
        <v>0</v>
      </c>
      <c r="K252" s="2"/>
      <c r="L252" s="2"/>
      <c r="M252">
        <f>L252 * VLOOKUP("proper", inject!A:B, 2, FALSE)</f>
        <v>0</v>
      </c>
      <c r="N252" s="2"/>
      <c r="O252" s="2"/>
      <c r="P252">
        <f>O252 * VLOOKUP("kaltaparu", inject!A:B, 2, FALSE)</f>
        <v>0</v>
      </c>
      <c r="Q252" s="2"/>
    </row>
    <row r="253" spans="1:17">
      <c r="A253">
        <v>252</v>
      </c>
      <c r="B253" t="s">
        <v>264</v>
      </c>
      <c r="C253" s="2"/>
      <c r="D253">
        <f>C253 * VLOOKUP("adipura", inject!A:B, 2, FALSE)</f>
        <v>0</v>
      </c>
      <c r="E253" s="2"/>
      <c r="F253" s="2"/>
      <c r="G253">
        <f>F253 * VLOOKUP("adiwiyata", inject!A:B, 2, FALSE)</f>
        <v>0</v>
      </c>
      <c r="H253" s="2"/>
      <c r="I253" s="2"/>
      <c r="J253">
        <f>I253 * VLOOKUP("proklim", inject!A:B, 2, FALSE)</f>
        <v>0</v>
      </c>
      <c r="K253" s="2"/>
      <c r="L253" s="2"/>
      <c r="M253">
        <f>L253 * VLOOKUP("proper", inject!A:B, 2, FALSE)</f>
        <v>0</v>
      </c>
      <c r="N253" s="2"/>
      <c r="O253" s="2"/>
      <c r="P253">
        <f>O253 * VLOOKUP("kaltaparu", inject!A:B, 2, FALSE)</f>
        <v>0</v>
      </c>
      <c r="Q253" s="2"/>
    </row>
    <row r="254" spans="1:17">
      <c r="A254">
        <v>253</v>
      </c>
      <c r="B254" t="s">
        <v>265</v>
      </c>
      <c r="C254" s="2"/>
      <c r="D254">
        <f>C254 * VLOOKUP("adipura", inject!A:B, 2, FALSE)</f>
        <v>0</v>
      </c>
      <c r="E254" s="2"/>
      <c r="F254" s="2"/>
      <c r="G254">
        <f>F254 * VLOOKUP("adiwiyata", inject!A:B, 2, FALSE)</f>
        <v>0</v>
      </c>
      <c r="H254" s="2"/>
      <c r="I254" s="2"/>
      <c r="J254">
        <f>I254 * VLOOKUP("proklim", inject!A:B, 2, FALSE)</f>
        <v>0</v>
      </c>
      <c r="K254" s="2"/>
      <c r="L254" s="2"/>
      <c r="M254">
        <f>L254 * VLOOKUP("proper", inject!A:B, 2, FALSE)</f>
        <v>0</v>
      </c>
      <c r="N254" s="2"/>
      <c r="O254" s="2"/>
      <c r="P254">
        <f>O254 * VLOOKUP("kaltaparu", inject!A:B, 2, FALSE)</f>
        <v>0</v>
      </c>
      <c r="Q254" s="2"/>
    </row>
    <row r="255" spans="1:17">
      <c r="A255">
        <v>254</v>
      </c>
      <c r="B255" t="s">
        <v>266</v>
      </c>
      <c r="C255" s="2"/>
      <c r="D255">
        <f>C255 * VLOOKUP("adipura", inject!A:B, 2, FALSE)</f>
        <v>0</v>
      </c>
      <c r="E255" s="2"/>
      <c r="F255" s="2"/>
      <c r="G255">
        <f>F255 * VLOOKUP("adiwiyata", inject!A:B, 2, FALSE)</f>
        <v>0</v>
      </c>
      <c r="H255" s="2"/>
      <c r="I255" s="2"/>
      <c r="J255">
        <f>I255 * VLOOKUP("proklim", inject!A:B, 2, FALSE)</f>
        <v>0</v>
      </c>
      <c r="K255" s="2"/>
      <c r="L255" s="2"/>
      <c r="M255">
        <f>L255 * VLOOKUP("proper", inject!A:B, 2, FALSE)</f>
        <v>0</v>
      </c>
      <c r="N255" s="2"/>
      <c r="O255" s="2"/>
      <c r="P255">
        <f>O255 * VLOOKUP("kaltaparu", inject!A:B, 2, FALSE)</f>
        <v>0</v>
      </c>
      <c r="Q255" s="2"/>
    </row>
    <row r="256" spans="1:17">
      <c r="A256">
        <v>255</v>
      </c>
      <c r="B256" t="s">
        <v>267</v>
      </c>
      <c r="C256" s="2"/>
      <c r="D256">
        <f>C256 * VLOOKUP("adipura", inject!A:B, 2, FALSE)</f>
        <v>0</v>
      </c>
      <c r="E256" s="2"/>
      <c r="F256" s="2"/>
      <c r="G256">
        <f>F256 * VLOOKUP("adiwiyata", inject!A:B, 2, FALSE)</f>
        <v>0</v>
      </c>
      <c r="H256" s="2"/>
      <c r="I256" s="2"/>
      <c r="J256">
        <f>I256 * VLOOKUP("proklim", inject!A:B, 2, FALSE)</f>
        <v>0</v>
      </c>
      <c r="K256" s="2"/>
      <c r="L256" s="2"/>
      <c r="M256">
        <f>L256 * VLOOKUP("proper", inject!A:B, 2, FALSE)</f>
        <v>0</v>
      </c>
      <c r="N256" s="2"/>
      <c r="O256" s="2"/>
      <c r="P256">
        <f>O256 * VLOOKUP("kaltaparu", inject!A:B, 2, FALSE)</f>
        <v>0</v>
      </c>
      <c r="Q256" s="2"/>
    </row>
    <row r="257" spans="1:17">
      <c r="A257">
        <v>256</v>
      </c>
      <c r="B257" t="s">
        <v>268</v>
      </c>
      <c r="C257" s="2"/>
      <c r="D257">
        <f>C257 * VLOOKUP("adipura", inject!A:B, 2, FALSE)</f>
        <v>0</v>
      </c>
      <c r="E257" s="2"/>
      <c r="F257" s="2"/>
      <c r="G257">
        <f>F257 * VLOOKUP("adiwiyata", inject!A:B, 2, FALSE)</f>
        <v>0</v>
      </c>
      <c r="H257" s="2"/>
      <c r="I257" s="2"/>
      <c r="J257">
        <f>I257 * VLOOKUP("proklim", inject!A:B, 2, FALSE)</f>
        <v>0</v>
      </c>
      <c r="K257" s="2"/>
      <c r="L257" s="2"/>
      <c r="M257">
        <f>L257 * VLOOKUP("proper", inject!A:B, 2, FALSE)</f>
        <v>0</v>
      </c>
      <c r="N257" s="2"/>
      <c r="O257" s="2"/>
      <c r="P257">
        <f>O257 * VLOOKUP("kaltaparu", inject!A:B, 2, FALSE)</f>
        <v>0</v>
      </c>
      <c r="Q257" s="2"/>
    </row>
    <row r="258" spans="1:17">
      <c r="A258">
        <v>257</v>
      </c>
      <c r="B258" t="s">
        <v>269</v>
      </c>
      <c r="C258" s="2"/>
      <c r="D258">
        <f>C258 * VLOOKUP("adipura", inject!A:B, 2, FALSE)</f>
        <v>0</v>
      </c>
      <c r="E258" s="2"/>
      <c r="F258" s="2"/>
      <c r="G258">
        <f>F258 * VLOOKUP("adiwiyata", inject!A:B, 2, FALSE)</f>
        <v>0</v>
      </c>
      <c r="H258" s="2"/>
      <c r="I258" s="2"/>
      <c r="J258">
        <f>I258 * VLOOKUP("proklim", inject!A:B, 2, FALSE)</f>
        <v>0</v>
      </c>
      <c r="K258" s="2"/>
      <c r="L258" s="2"/>
      <c r="M258">
        <f>L258 * VLOOKUP("proper", inject!A:B, 2, FALSE)</f>
        <v>0</v>
      </c>
      <c r="N258" s="2"/>
      <c r="O258" s="2"/>
      <c r="P258">
        <f>O258 * VLOOKUP("kaltaparu", inject!A:B, 2, FALSE)</f>
        <v>0</v>
      </c>
      <c r="Q258" s="2"/>
    </row>
    <row r="259" spans="1:17">
      <c r="A259">
        <v>258</v>
      </c>
      <c r="B259" t="s">
        <v>270</v>
      </c>
      <c r="C259" s="2"/>
      <c r="D259">
        <f>C259 * VLOOKUP("adipura", inject!A:B, 2, FALSE)</f>
        <v>0</v>
      </c>
      <c r="E259" s="2"/>
      <c r="F259" s="2"/>
      <c r="G259">
        <f>F259 * VLOOKUP("adiwiyata", inject!A:B, 2, FALSE)</f>
        <v>0</v>
      </c>
      <c r="H259" s="2"/>
      <c r="I259" s="2"/>
      <c r="J259">
        <f>I259 * VLOOKUP("proklim", inject!A:B, 2, FALSE)</f>
        <v>0</v>
      </c>
      <c r="K259" s="2"/>
      <c r="L259" s="2"/>
      <c r="M259">
        <f>L259 * VLOOKUP("proper", inject!A:B, 2, FALSE)</f>
        <v>0</v>
      </c>
      <c r="N259" s="2"/>
      <c r="O259" s="2"/>
      <c r="P259">
        <f>O259 * VLOOKUP("kaltaparu", inject!A:B, 2, FALSE)</f>
        <v>0</v>
      </c>
      <c r="Q259" s="2"/>
    </row>
    <row r="260" spans="1:17">
      <c r="A260">
        <v>259</v>
      </c>
      <c r="B260" t="s">
        <v>271</v>
      </c>
      <c r="C260" s="2"/>
      <c r="D260">
        <f>C260 * VLOOKUP("adipura", inject!A:B, 2, FALSE)</f>
        <v>0</v>
      </c>
      <c r="E260" s="2"/>
      <c r="F260" s="2"/>
      <c r="G260">
        <f>F260 * VLOOKUP("adiwiyata", inject!A:B, 2, FALSE)</f>
        <v>0</v>
      </c>
      <c r="H260" s="2"/>
      <c r="I260" s="2"/>
      <c r="J260">
        <f>I260 * VLOOKUP("proklim", inject!A:B, 2, FALSE)</f>
        <v>0</v>
      </c>
      <c r="K260" s="2"/>
      <c r="L260" s="2"/>
      <c r="M260">
        <f>L260 * VLOOKUP("proper", inject!A:B, 2, FALSE)</f>
        <v>0</v>
      </c>
      <c r="N260" s="2"/>
      <c r="O260" s="2"/>
      <c r="P260">
        <f>O260 * VLOOKUP("kaltaparu", inject!A:B, 2, FALSE)</f>
        <v>0</v>
      </c>
      <c r="Q260" s="2"/>
    </row>
    <row r="261" spans="1:17">
      <c r="A261">
        <v>260</v>
      </c>
      <c r="B261" t="s">
        <v>272</v>
      </c>
      <c r="C261" s="2"/>
      <c r="D261">
        <f>C261 * VLOOKUP("adipura", inject!A:B, 2, FALSE)</f>
        <v>0</v>
      </c>
      <c r="E261" s="2"/>
      <c r="F261" s="2"/>
      <c r="G261">
        <f>F261 * VLOOKUP("adiwiyata", inject!A:B, 2, FALSE)</f>
        <v>0</v>
      </c>
      <c r="H261" s="2"/>
      <c r="I261" s="2"/>
      <c r="J261">
        <f>I261 * VLOOKUP("proklim", inject!A:B, 2, FALSE)</f>
        <v>0</v>
      </c>
      <c r="K261" s="2"/>
      <c r="L261" s="2"/>
      <c r="M261">
        <f>L261 * VLOOKUP("proper", inject!A:B, 2, FALSE)</f>
        <v>0</v>
      </c>
      <c r="N261" s="2"/>
      <c r="O261" s="2"/>
      <c r="P261">
        <f>O261 * VLOOKUP("kaltaparu", inject!A:B, 2, FALSE)</f>
        <v>0</v>
      </c>
      <c r="Q261" s="2"/>
    </row>
    <row r="262" spans="1:17">
      <c r="A262">
        <v>261</v>
      </c>
      <c r="B262" t="s">
        <v>273</v>
      </c>
      <c r="C262" s="2"/>
      <c r="D262">
        <f>C262 * VLOOKUP("adipura", inject!A:B, 2, FALSE)</f>
        <v>0</v>
      </c>
      <c r="E262" s="2"/>
      <c r="F262" s="2"/>
      <c r="G262">
        <f>F262 * VLOOKUP("adiwiyata", inject!A:B, 2, FALSE)</f>
        <v>0</v>
      </c>
      <c r="H262" s="2"/>
      <c r="I262" s="2"/>
      <c r="J262">
        <f>I262 * VLOOKUP("proklim", inject!A:B, 2, FALSE)</f>
        <v>0</v>
      </c>
      <c r="K262" s="2"/>
      <c r="L262" s="2"/>
      <c r="M262">
        <f>L262 * VLOOKUP("proper", inject!A:B, 2, FALSE)</f>
        <v>0</v>
      </c>
      <c r="N262" s="2"/>
      <c r="O262" s="2"/>
      <c r="P262">
        <f>O262 * VLOOKUP("kaltaparu", inject!A:B, 2, FALSE)</f>
        <v>0</v>
      </c>
      <c r="Q262" s="2"/>
    </row>
    <row r="263" spans="1:17">
      <c r="A263">
        <v>262</v>
      </c>
      <c r="B263" t="s">
        <v>274</v>
      </c>
      <c r="C263" s="2"/>
      <c r="D263">
        <f>C263 * VLOOKUP("adipura", inject!A:B, 2, FALSE)</f>
        <v>0</v>
      </c>
      <c r="E263" s="2"/>
      <c r="F263" s="2"/>
      <c r="G263">
        <f>F263 * VLOOKUP("adiwiyata", inject!A:B, 2, FALSE)</f>
        <v>0</v>
      </c>
      <c r="H263" s="2"/>
      <c r="I263" s="2"/>
      <c r="J263">
        <f>I263 * VLOOKUP("proklim", inject!A:B, 2, FALSE)</f>
        <v>0</v>
      </c>
      <c r="K263" s="2"/>
      <c r="L263" s="2"/>
      <c r="M263">
        <f>L263 * VLOOKUP("proper", inject!A:B, 2, FALSE)</f>
        <v>0</v>
      </c>
      <c r="N263" s="2"/>
      <c r="O263" s="2"/>
      <c r="P263">
        <f>O263 * VLOOKUP("kaltaparu", inject!A:B, 2, FALSE)</f>
        <v>0</v>
      </c>
      <c r="Q263" s="2"/>
    </row>
    <row r="264" spans="1:17">
      <c r="A264">
        <v>263</v>
      </c>
      <c r="B264" t="s">
        <v>275</v>
      </c>
      <c r="C264" s="2"/>
      <c r="D264">
        <f>C264 * VLOOKUP("adipura", inject!A:B, 2, FALSE)</f>
        <v>0</v>
      </c>
      <c r="E264" s="2"/>
      <c r="F264" s="2"/>
      <c r="G264">
        <f>F264 * VLOOKUP("adiwiyata", inject!A:B, 2, FALSE)</f>
        <v>0</v>
      </c>
      <c r="H264" s="2"/>
      <c r="I264" s="2"/>
      <c r="J264">
        <f>I264 * VLOOKUP("proklim", inject!A:B, 2, FALSE)</f>
        <v>0</v>
      </c>
      <c r="K264" s="2"/>
      <c r="L264" s="2"/>
      <c r="M264">
        <f>L264 * VLOOKUP("proper", inject!A:B, 2, FALSE)</f>
        <v>0</v>
      </c>
      <c r="N264" s="2"/>
      <c r="O264" s="2"/>
      <c r="P264">
        <f>O264 * VLOOKUP("kaltaparu", inject!A:B, 2, FALSE)</f>
        <v>0</v>
      </c>
      <c r="Q264" s="2"/>
    </row>
    <row r="265" spans="1:17">
      <c r="A265">
        <v>264</v>
      </c>
      <c r="B265" t="s">
        <v>276</v>
      </c>
      <c r="C265" s="2"/>
      <c r="D265">
        <f>C265 * VLOOKUP("adipura", inject!A:B, 2, FALSE)</f>
        <v>0</v>
      </c>
      <c r="E265" s="2"/>
      <c r="F265" s="2"/>
      <c r="G265">
        <f>F265 * VLOOKUP("adiwiyata", inject!A:B, 2, FALSE)</f>
        <v>0</v>
      </c>
      <c r="H265" s="2"/>
      <c r="I265" s="2"/>
      <c r="J265">
        <f>I265 * VLOOKUP("proklim", inject!A:B, 2, FALSE)</f>
        <v>0</v>
      </c>
      <c r="K265" s="2"/>
      <c r="L265" s="2"/>
      <c r="M265">
        <f>L265 * VLOOKUP("proper", inject!A:B, 2, FALSE)</f>
        <v>0</v>
      </c>
      <c r="N265" s="2"/>
      <c r="O265" s="2"/>
      <c r="P265">
        <f>O265 * VLOOKUP("kaltaparu", inject!A:B, 2, FALSE)</f>
        <v>0</v>
      </c>
      <c r="Q265" s="2"/>
    </row>
    <row r="266" spans="1:17">
      <c r="A266">
        <v>265</v>
      </c>
      <c r="B266" t="s">
        <v>277</v>
      </c>
      <c r="C266" s="2"/>
      <c r="D266">
        <f>C266 * VLOOKUP("adipura", inject!A:B, 2, FALSE)</f>
        <v>0</v>
      </c>
      <c r="E266" s="2"/>
      <c r="F266" s="2"/>
      <c r="G266">
        <f>F266 * VLOOKUP("adiwiyata", inject!A:B, 2, FALSE)</f>
        <v>0</v>
      </c>
      <c r="H266" s="2"/>
      <c r="I266" s="2"/>
      <c r="J266">
        <f>I266 * VLOOKUP("proklim", inject!A:B, 2, FALSE)</f>
        <v>0</v>
      </c>
      <c r="K266" s="2"/>
      <c r="L266" s="2"/>
      <c r="M266">
        <f>L266 * VLOOKUP("proper", inject!A:B, 2, FALSE)</f>
        <v>0</v>
      </c>
      <c r="N266" s="2"/>
      <c r="O266" s="2"/>
      <c r="P266">
        <f>O266 * VLOOKUP("kaltaparu", inject!A:B, 2, FALSE)</f>
        <v>0</v>
      </c>
      <c r="Q266" s="2"/>
    </row>
    <row r="267" spans="1:17">
      <c r="A267">
        <v>266</v>
      </c>
      <c r="B267" t="s">
        <v>278</v>
      </c>
      <c r="C267" s="2"/>
      <c r="D267">
        <f>C267 * VLOOKUP("adipura", inject!A:B, 2, FALSE)</f>
        <v>0</v>
      </c>
      <c r="E267" s="2"/>
      <c r="F267" s="2"/>
      <c r="G267">
        <f>F267 * VLOOKUP("adiwiyata", inject!A:B, 2, FALSE)</f>
        <v>0</v>
      </c>
      <c r="H267" s="2"/>
      <c r="I267" s="2"/>
      <c r="J267">
        <f>I267 * VLOOKUP("proklim", inject!A:B, 2, FALSE)</f>
        <v>0</v>
      </c>
      <c r="K267" s="2"/>
      <c r="L267" s="2"/>
      <c r="M267">
        <f>L267 * VLOOKUP("proper", inject!A:B, 2, FALSE)</f>
        <v>0</v>
      </c>
      <c r="N267" s="2"/>
      <c r="O267" s="2"/>
      <c r="P267">
        <f>O267 * VLOOKUP("kaltaparu", inject!A:B, 2, FALSE)</f>
        <v>0</v>
      </c>
      <c r="Q267" s="2"/>
    </row>
    <row r="268" spans="1:17">
      <c r="A268">
        <v>267</v>
      </c>
      <c r="B268" t="s">
        <v>279</v>
      </c>
      <c r="C268" s="2"/>
      <c r="D268">
        <f>C268 * VLOOKUP("adipura", inject!A:B, 2, FALSE)</f>
        <v>0</v>
      </c>
      <c r="E268" s="2"/>
      <c r="F268" s="2"/>
      <c r="G268">
        <f>F268 * VLOOKUP("adiwiyata", inject!A:B, 2, FALSE)</f>
        <v>0</v>
      </c>
      <c r="H268" s="2"/>
      <c r="I268" s="2"/>
      <c r="J268">
        <f>I268 * VLOOKUP("proklim", inject!A:B, 2, FALSE)</f>
        <v>0</v>
      </c>
      <c r="K268" s="2"/>
      <c r="L268" s="2"/>
      <c r="M268">
        <f>L268 * VLOOKUP("proper", inject!A:B, 2, FALSE)</f>
        <v>0</v>
      </c>
      <c r="N268" s="2"/>
      <c r="O268" s="2"/>
      <c r="P268">
        <f>O268 * VLOOKUP("kaltaparu", inject!A:B, 2, FALSE)</f>
        <v>0</v>
      </c>
      <c r="Q268" s="2"/>
    </row>
    <row r="269" spans="1:17">
      <c r="A269">
        <v>268</v>
      </c>
      <c r="B269" t="s">
        <v>280</v>
      </c>
      <c r="C269" s="2"/>
      <c r="D269">
        <f>C269 * VLOOKUP("adipura", inject!A:B, 2, FALSE)</f>
        <v>0</v>
      </c>
      <c r="E269" s="2"/>
      <c r="F269" s="2"/>
      <c r="G269">
        <f>F269 * VLOOKUP("adiwiyata", inject!A:B, 2, FALSE)</f>
        <v>0</v>
      </c>
      <c r="H269" s="2"/>
      <c r="I269" s="2"/>
      <c r="J269">
        <f>I269 * VLOOKUP("proklim", inject!A:B, 2, FALSE)</f>
        <v>0</v>
      </c>
      <c r="K269" s="2"/>
      <c r="L269" s="2"/>
      <c r="M269">
        <f>L269 * VLOOKUP("proper", inject!A:B, 2, FALSE)</f>
        <v>0</v>
      </c>
      <c r="N269" s="2"/>
      <c r="O269" s="2"/>
      <c r="P269">
        <f>O269 * VLOOKUP("kaltaparu", inject!A:B, 2, FALSE)</f>
        <v>0</v>
      </c>
      <c r="Q269" s="2"/>
    </row>
    <row r="270" spans="1:17">
      <c r="A270">
        <v>269</v>
      </c>
      <c r="B270" t="s">
        <v>281</v>
      </c>
      <c r="C270" s="2"/>
      <c r="D270">
        <f>C270 * VLOOKUP("adipura", inject!A:B, 2, FALSE)</f>
        <v>0</v>
      </c>
      <c r="E270" s="2"/>
      <c r="F270" s="2"/>
      <c r="G270">
        <f>F270 * VLOOKUP("adiwiyata", inject!A:B, 2, FALSE)</f>
        <v>0</v>
      </c>
      <c r="H270" s="2"/>
      <c r="I270" s="2"/>
      <c r="J270">
        <f>I270 * VLOOKUP("proklim", inject!A:B, 2, FALSE)</f>
        <v>0</v>
      </c>
      <c r="K270" s="2"/>
      <c r="L270" s="2"/>
      <c r="M270">
        <f>L270 * VLOOKUP("proper", inject!A:B, 2, FALSE)</f>
        <v>0</v>
      </c>
      <c r="N270" s="2"/>
      <c r="O270" s="2"/>
      <c r="P270">
        <f>O270 * VLOOKUP("kaltaparu", inject!A:B, 2, FALSE)</f>
        <v>0</v>
      </c>
      <c r="Q270" s="2"/>
    </row>
    <row r="271" spans="1:17">
      <c r="A271">
        <v>270</v>
      </c>
      <c r="B271" t="s">
        <v>282</v>
      </c>
      <c r="C271" s="2"/>
      <c r="D271">
        <f>C271 * VLOOKUP("adipura", inject!A:B, 2, FALSE)</f>
        <v>0</v>
      </c>
      <c r="E271" s="2"/>
      <c r="F271" s="2"/>
      <c r="G271">
        <f>F271 * VLOOKUP("adiwiyata", inject!A:B, 2, FALSE)</f>
        <v>0</v>
      </c>
      <c r="H271" s="2"/>
      <c r="I271" s="2"/>
      <c r="J271">
        <f>I271 * VLOOKUP("proklim", inject!A:B, 2, FALSE)</f>
        <v>0</v>
      </c>
      <c r="K271" s="2"/>
      <c r="L271" s="2"/>
      <c r="M271">
        <f>L271 * VLOOKUP("proper", inject!A:B, 2, FALSE)</f>
        <v>0</v>
      </c>
      <c r="N271" s="2"/>
      <c r="O271" s="2"/>
      <c r="P271">
        <f>O271 * VLOOKUP("kaltaparu", inject!A:B, 2, FALSE)</f>
        <v>0</v>
      </c>
      <c r="Q271" s="2"/>
    </row>
    <row r="272" spans="1:17">
      <c r="A272">
        <v>271</v>
      </c>
      <c r="B272" t="s">
        <v>283</v>
      </c>
      <c r="C272" s="2"/>
      <c r="D272">
        <f>C272 * VLOOKUP("adipura", inject!A:B, 2, FALSE)</f>
        <v>0</v>
      </c>
      <c r="E272" s="2"/>
      <c r="F272" s="2"/>
      <c r="G272">
        <f>F272 * VLOOKUP("adiwiyata", inject!A:B, 2, FALSE)</f>
        <v>0</v>
      </c>
      <c r="H272" s="2"/>
      <c r="I272" s="2"/>
      <c r="J272">
        <f>I272 * VLOOKUP("proklim", inject!A:B, 2, FALSE)</f>
        <v>0</v>
      </c>
      <c r="K272" s="2"/>
      <c r="L272" s="2"/>
      <c r="M272">
        <f>L272 * VLOOKUP("proper", inject!A:B, 2, FALSE)</f>
        <v>0</v>
      </c>
      <c r="N272" s="2"/>
      <c r="O272" s="2"/>
      <c r="P272">
        <f>O272 * VLOOKUP("kaltaparu", inject!A:B, 2, FALSE)</f>
        <v>0</v>
      </c>
      <c r="Q272" s="2"/>
    </row>
    <row r="273" spans="1:17">
      <c r="A273">
        <v>272</v>
      </c>
      <c r="B273" t="s">
        <v>284</v>
      </c>
      <c r="C273" s="2"/>
      <c r="D273">
        <f>C273 * VLOOKUP("adipura", inject!A:B, 2, FALSE)</f>
        <v>0</v>
      </c>
      <c r="E273" s="2"/>
      <c r="F273" s="2"/>
      <c r="G273">
        <f>F273 * VLOOKUP("adiwiyata", inject!A:B, 2, FALSE)</f>
        <v>0</v>
      </c>
      <c r="H273" s="2"/>
      <c r="I273" s="2"/>
      <c r="J273">
        <f>I273 * VLOOKUP("proklim", inject!A:B, 2, FALSE)</f>
        <v>0</v>
      </c>
      <c r="K273" s="2"/>
      <c r="L273" s="2"/>
      <c r="M273">
        <f>L273 * VLOOKUP("proper", inject!A:B, 2, FALSE)</f>
        <v>0</v>
      </c>
      <c r="N273" s="2"/>
      <c r="O273" s="2"/>
      <c r="P273">
        <f>O273 * VLOOKUP("kaltaparu", inject!A:B, 2, FALSE)</f>
        <v>0</v>
      </c>
      <c r="Q273" s="2"/>
    </row>
    <row r="274" spans="1:17">
      <c r="A274">
        <v>273</v>
      </c>
      <c r="B274" t="s">
        <v>285</v>
      </c>
      <c r="C274" s="2"/>
      <c r="D274">
        <f>C274 * VLOOKUP("adipura", inject!A:B, 2, FALSE)</f>
        <v>0</v>
      </c>
      <c r="E274" s="2"/>
      <c r="F274" s="2"/>
      <c r="G274">
        <f>F274 * VLOOKUP("adiwiyata", inject!A:B, 2, FALSE)</f>
        <v>0</v>
      </c>
      <c r="H274" s="2"/>
      <c r="I274" s="2"/>
      <c r="J274">
        <f>I274 * VLOOKUP("proklim", inject!A:B, 2, FALSE)</f>
        <v>0</v>
      </c>
      <c r="K274" s="2"/>
      <c r="L274" s="2"/>
      <c r="M274">
        <f>L274 * VLOOKUP("proper", inject!A:B, 2, FALSE)</f>
        <v>0</v>
      </c>
      <c r="N274" s="2"/>
      <c r="O274" s="2"/>
      <c r="P274">
        <f>O274 * VLOOKUP("kaltaparu", inject!A:B, 2, FALSE)</f>
        <v>0</v>
      </c>
      <c r="Q274" s="2"/>
    </row>
    <row r="275" spans="1:17">
      <c r="A275">
        <v>274</v>
      </c>
      <c r="B275" t="s">
        <v>286</v>
      </c>
      <c r="C275" s="2"/>
      <c r="D275">
        <f>C275 * VLOOKUP("adipura", inject!A:B, 2, FALSE)</f>
        <v>0</v>
      </c>
      <c r="E275" s="2"/>
      <c r="F275" s="2"/>
      <c r="G275">
        <f>F275 * VLOOKUP("adiwiyata", inject!A:B, 2, FALSE)</f>
        <v>0</v>
      </c>
      <c r="H275" s="2"/>
      <c r="I275" s="2"/>
      <c r="J275">
        <f>I275 * VLOOKUP("proklim", inject!A:B, 2, FALSE)</f>
        <v>0</v>
      </c>
      <c r="K275" s="2"/>
      <c r="L275" s="2"/>
      <c r="M275">
        <f>L275 * VLOOKUP("proper", inject!A:B, 2, FALSE)</f>
        <v>0</v>
      </c>
      <c r="N275" s="2"/>
      <c r="O275" s="2"/>
      <c r="P275">
        <f>O275 * VLOOKUP("kaltaparu", inject!A:B, 2, FALSE)</f>
        <v>0</v>
      </c>
      <c r="Q275" s="2"/>
    </row>
    <row r="276" spans="1:17">
      <c r="A276">
        <v>275</v>
      </c>
      <c r="B276" t="s">
        <v>287</v>
      </c>
      <c r="C276" s="2"/>
      <c r="D276">
        <f>C276 * VLOOKUP("adipura", inject!A:B, 2, FALSE)</f>
        <v>0</v>
      </c>
      <c r="E276" s="2"/>
      <c r="F276" s="2"/>
      <c r="G276">
        <f>F276 * VLOOKUP("adiwiyata", inject!A:B, 2, FALSE)</f>
        <v>0</v>
      </c>
      <c r="H276" s="2"/>
      <c r="I276" s="2"/>
      <c r="J276">
        <f>I276 * VLOOKUP("proklim", inject!A:B, 2, FALSE)</f>
        <v>0</v>
      </c>
      <c r="K276" s="2"/>
      <c r="L276" s="2"/>
      <c r="M276">
        <f>L276 * VLOOKUP("proper", inject!A:B, 2, FALSE)</f>
        <v>0</v>
      </c>
      <c r="N276" s="2"/>
      <c r="O276" s="2"/>
      <c r="P276">
        <f>O276 * VLOOKUP("kaltaparu", inject!A:B, 2, FALSE)</f>
        <v>0</v>
      </c>
      <c r="Q276" s="2"/>
    </row>
    <row r="277" spans="1:17">
      <c r="A277">
        <v>276</v>
      </c>
      <c r="B277" t="s">
        <v>288</v>
      </c>
      <c r="C277" s="2"/>
      <c r="D277">
        <f>C277 * VLOOKUP("adipura", inject!A:B, 2, FALSE)</f>
        <v>0</v>
      </c>
      <c r="E277" s="2"/>
      <c r="F277" s="2"/>
      <c r="G277">
        <f>F277 * VLOOKUP("adiwiyata", inject!A:B, 2, FALSE)</f>
        <v>0</v>
      </c>
      <c r="H277" s="2"/>
      <c r="I277" s="2"/>
      <c r="J277">
        <f>I277 * VLOOKUP("proklim", inject!A:B, 2, FALSE)</f>
        <v>0</v>
      </c>
      <c r="K277" s="2"/>
      <c r="L277" s="2"/>
      <c r="M277">
        <f>L277 * VLOOKUP("proper", inject!A:B, 2, FALSE)</f>
        <v>0</v>
      </c>
      <c r="N277" s="2"/>
      <c r="O277" s="2"/>
      <c r="P277">
        <f>O277 * VLOOKUP("kaltaparu", inject!A:B, 2, FALSE)</f>
        <v>0</v>
      </c>
      <c r="Q277" s="2"/>
    </row>
    <row r="278" spans="1:17">
      <c r="A278">
        <v>277</v>
      </c>
      <c r="B278" t="s">
        <v>289</v>
      </c>
      <c r="C278" s="2"/>
      <c r="D278">
        <f>C278 * VLOOKUP("adipura", inject!A:B, 2, FALSE)</f>
        <v>0</v>
      </c>
      <c r="E278" s="2"/>
      <c r="F278" s="2"/>
      <c r="G278">
        <f>F278 * VLOOKUP("adiwiyata", inject!A:B, 2, FALSE)</f>
        <v>0</v>
      </c>
      <c r="H278" s="2"/>
      <c r="I278" s="2"/>
      <c r="J278">
        <f>I278 * VLOOKUP("proklim", inject!A:B, 2, FALSE)</f>
        <v>0</v>
      </c>
      <c r="K278" s="2"/>
      <c r="L278" s="2"/>
      <c r="M278">
        <f>L278 * VLOOKUP("proper", inject!A:B, 2, FALSE)</f>
        <v>0</v>
      </c>
      <c r="N278" s="2"/>
      <c r="O278" s="2"/>
      <c r="P278">
        <f>O278 * VLOOKUP("kaltaparu", inject!A:B, 2, FALSE)</f>
        <v>0</v>
      </c>
      <c r="Q278" s="2"/>
    </row>
    <row r="279" spans="1:17">
      <c r="A279">
        <v>278</v>
      </c>
      <c r="B279" t="s">
        <v>290</v>
      </c>
      <c r="C279" s="2"/>
      <c r="D279">
        <f>C279 * VLOOKUP("adipura", inject!A:B, 2, FALSE)</f>
        <v>0</v>
      </c>
      <c r="E279" s="2"/>
      <c r="F279" s="2"/>
      <c r="G279">
        <f>F279 * VLOOKUP("adiwiyata", inject!A:B, 2, FALSE)</f>
        <v>0</v>
      </c>
      <c r="H279" s="2"/>
      <c r="I279" s="2"/>
      <c r="J279">
        <f>I279 * VLOOKUP("proklim", inject!A:B, 2, FALSE)</f>
        <v>0</v>
      </c>
      <c r="K279" s="2"/>
      <c r="L279" s="2"/>
      <c r="M279">
        <f>L279 * VLOOKUP("proper", inject!A:B, 2, FALSE)</f>
        <v>0</v>
      </c>
      <c r="N279" s="2"/>
      <c r="O279" s="2"/>
      <c r="P279">
        <f>O279 * VLOOKUP("kaltaparu", inject!A:B, 2, FALSE)</f>
        <v>0</v>
      </c>
      <c r="Q279" s="2"/>
    </row>
    <row r="280" spans="1:17">
      <c r="A280">
        <v>279</v>
      </c>
      <c r="B280" t="s">
        <v>291</v>
      </c>
      <c r="C280" s="2"/>
      <c r="D280">
        <f>C280 * VLOOKUP("adipura", inject!A:B, 2, FALSE)</f>
        <v>0</v>
      </c>
      <c r="E280" s="2"/>
      <c r="F280" s="2"/>
      <c r="G280">
        <f>F280 * VLOOKUP("adiwiyata", inject!A:B, 2, FALSE)</f>
        <v>0</v>
      </c>
      <c r="H280" s="2"/>
      <c r="I280" s="2"/>
      <c r="J280">
        <f>I280 * VLOOKUP("proklim", inject!A:B, 2, FALSE)</f>
        <v>0</v>
      </c>
      <c r="K280" s="2"/>
      <c r="L280" s="2"/>
      <c r="M280">
        <f>L280 * VLOOKUP("proper", inject!A:B, 2, FALSE)</f>
        <v>0</v>
      </c>
      <c r="N280" s="2"/>
      <c r="O280" s="2"/>
      <c r="P280">
        <f>O280 * VLOOKUP("kaltaparu", inject!A:B, 2, FALSE)</f>
        <v>0</v>
      </c>
      <c r="Q280" s="2"/>
    </row>
    <row r="281" spans="1:17">
      <c r="A281">
        <v>280</v>
      </c>
      <c r="B281" t="s">
        <v>292</v>
      </c>
      <c r="C281" s="2"/>
      <c r="D281">
        <f>C281 * VLOOKUP("adipura", inject!A:B, 2, FALSE)</f>
        <v>0</v>
      </c>
      <c r="E281" s="2"/>
      <c r="F281" s="2"/>
      <c r="G281">
        <f>F281 * VLOOKUP("adiwiyata", inject!A:B, 2, FALSE)</f>
        <v>0</v>
      </c>
      <c r="H281" s="2"/>
      <c r="I281" s="2"/>
      <c r="J281">
        <f>I281 * VLOOKUP("proklim", inject!A:B, 2, FALSE)</f>
        <v>0</v>
      </c>
      <c r="K281" s="2"/>
      <c r="L281" s="2"/>
      <c r="M281">
        <f>L281 * VLOOKUP("proper", inject!A:B, 2, FALSE)</f>
        <v>0</v>
      </c>
      <c r="N281" s="2"/>
      <c r="O281" s="2"/>
      <c r="P281">
        <f>O281 * VLOOKUP("kaltaparu", inject!A:B, 2, FALSE)</f>
        <v>0</v>
      </c>
      <c r="Q281" s="2"/>
    </row>
    <row r="282" spans="1:17">
      <c r="A282">
        <v>281</v>
      </c>
      <c r="B282" t="s">
        <v>293</v>
      </c>
      <c r="C282" s="2"/>
      <c r="D282">
        <f>C282 * VLOOKUP("adipura", inject!A:B, 2, FALSE)</f>
        <v>0</v>
      </c>
      <c r="E282" s="2"/>
      <c r="F282" s="2"/>
      <c r="G282">
        <f>F282 * VLOOKUP("adiwiyata", inject!A:B, 2, FALSE)</f>
        <v>0</v>
      </c>
      <c r="H282" s="2"/>
      <c r="I282" s="2"/>
      <c r="J282">
        <f>I282 * VLOOKUP("proklim", inject!A:B, 2, FALSE)</f>
        <v>0</v>
      </c>
      <c r="K282" s="2"/>
      <c r="L282" s="2"/>
      <c r="M282">
        <f>L282 * VLOOKUP("proper", inject!A:B, 2, FALSE)</f>
        <v>0</v>
      </c>
      <c r="N282" s="2"/>
      <c r="O282" s="2"/>
      <c r="P282">
        <f>O282 * VLOOKUP("kaltaparu", inject!A:B, 2, FALSE)</f>
        <v>0</v>
      </c>
      <c r="Q282" s="2"/>
    </row>
    <row r="283" spans="1:17">
      <c r="A283">
        <v>282</v>
      </c>
      <c r="B283" t="s">
        <v>294</v>
      </c>
      <c r="C283" s="2"/>
      <c r="D283">
        <f>C283 * VLOOKUP("adipura", inject!A:B, 2, FALSE)</f>
        <v>0</v>
      </c>
      <c r="E283" s="2"/>
      <c r="F283" s="2"/>
      <c r="G283">
        <f>F283 * VLOOKUP("adiwiyata", inject!A:B, 2, FALSE)</f>
        <v>0</v>
      </c>
      <c r="H283" s="2"/>
      <c r="I283" s="2"/>
      <c r="J283">
        <f>I283 * VLOOKUP("proklim", inject!A:B, 2, FALSE)</f>
        <v>0</v>
      </c>
      <c r="K283" s="2"/>
      <c r="L283" s="2"/>
      <c r="M283">
        <f>L283 * VLOOKUP("proper", inject!A:B, 2, FALSE)</f>
        <v>0</v>
      </c>
      <c r="N283" s="2"/>
      <c r="O283" s="2"/>
      <c r="P283">
        <f>O283 * VLOOKUP("kaltaparu", inject!A:B, 2, FALSE)</f>
        <v>0</v>
      </c>
      <c r="Q283" s="2"/>
    </row>
    <row r="284" spans="1:17">
      <c r="A284">
        <v>283</v>
      </c>
      <c r="B284" t="s">
        <v>295</v>
      </c>
      <c r="C284" s="2"/>
      <c r="D284">
        <f>C284 * VLOOKUP("adipura", inject!A:B, 2, FALSE)</f>
        <v>0</v>
      </c>
      <c r="E284" s="2"/>
      <c r="F284" s="2"/>
      <c r="G284">
        <f>F284 * VLOOKUP("adiwiyata", inject!A:B, 2, FALSE)</f>
        <v>0</v>
      </c>
      <c r="H284" s="2"/>
      <c r="I284" s="2"/>
      <c r="J284">
        <f>I284 * VLOOKUP("proklim", inject!A:B, 2, FALSE)</f>
        <v>0</v>
      </c>
      <c r="K284" s="2"/>
      <c r="L284" s="2"/>
      <c r="M284">
        <f>L284 * VLOOKUP("proper", inject!A:B, 2, FALSE)</f>
        <v>0</v>
      </c>
      <c r="N284" s="2"/>
      <c r="O284" s="2"/>
      <c r="P284">
        <f>O284 * VLOOKUP("kaltaparu", inject!A:B, 2, FALSE)</f>
        <v>0</v>
      </c>
      <c r="Q284" s="2"/>
    </row>
    <row r="285" spans="1:17">
      <c r="A285">
        <v>284</v>
      </c>
      <c r="B285" t="s">
        <v>296</v>
      </c>
      <c r="C285" s="2"/>
      <c r="D285">
        <f>C285 * VLOOKUP("adipura", inject!A:B, 2, FALSE)</f>
        <v>0</v>
      </c>
      <c r="E285" s="2"/>
      <c r="F285" s="2"/>
      <c r="G285">
        <f>F285 * VLOOKUP("adiwiyata", inject!A:B, 2, FALSE)</f>
        <v>0</v>
      </c>
      <c r="H285" s="2"/>
      <c r="I285" s="2"/>
      <c r="J285">
        <f>I285 * VLOOKUP("proklim", inject!A:B, 2, FALSE)</f>
        <v>0</v>
      </c>
      <c r="K285" s="2"/>
      <c r="L285" s="2"/>
      <c r="M285">
        <f>L285 * VLOOKUP("proper", inject!A:B, 2, FALSE)</f>
        <v>0</v>
      </c>
      <c r="N285" s="2"/>
      <c r="O285" s="2"/>
      <c r="P285">
        <f>O285 * VLOOKUP("kaltaparu", inject!A:B, 2, FALSE)</f>
        <v>0</v>
      </c>
      <c r="Q285" s="2"/>
    </row>
    <row r="286" spans="1:17">
      <c r="A286">
        <v>285</v>
      </c>
      <c r="B286" t="s">
        <v>297</v>
      </c>
      <c r="C286" s="2"/>
      <c r="D286">
        <f>C286 * VLOOKUP("adipura", inject!A:B, 2, FALSE)</f>
        <v>0</v>
      </c>
      <c r="E286" s="2"/>
      <c r="F286" s="2"/>
      <c r="G286">
        <f>F286 * VLOOKUP("adiwiyata", inject!A:B, 2, FALSE)</f>
        <v>0</v>
      </c>
      <c r="H286" s="2"/>
      <c r="I286" s="2"/>
      <c r="J286">
        <f>I286 * VLOOKUP("proklim", inject!A:B, 2, FALSE)</f>
        <v>0</v>
      </c>
      <c r="K286" s="2"/>
      <c r="L286" s="2"/>
      <c r="M286">
        <f>L286 * VLOOKUP("proper", inject!A:B, 2, FALSE)</f>
        <v>0</v>
      </c>
      <c r="N286" s="2"/>
      <c r="O286" s="2"/>
      <c r="P286">
        <f>O286 * VLOOKUP("kaltaparu", inject!A:B, 2, FALSE)</f>
        <v>0</v>
      </c>
      <c r="Q286" s="2"/>
    </row>
    <row r="287" spans="1:17">
      <c r="A287">
        <v>286</v>
      </c>
      <c r="B287" t="s">
        <v>298</v>
      </c>
      <c r="C287" s="2"/>
      <c r="D287">
        <f>C287 * VLOOKUP("adipura", inject!A:B, 2, FALSE)</f>
        <v>0</v>
      </c>
      <c r="E287" s="2"/>
      <c r="F287" s="2"/>
      <c r="G287">
        <f>F287 * VLOOKUP("adiwiyata", inject!A:B, 2, FALSE)</f>
        <v>0</v>
      </c>
      <c r="H287" s="2"/>
      <c r="I287" s="2"/>
      <c r="J287">
        <f>I287 * VLOOKUP("proklim", inject!A:B, 2, FALSE)</f>
        <v>0</v>
      </c>
      <c r="K287" s="2"/>
      <c r="L287" s="2"/>
      <c r="M287">
        <f>L287 * VLOOKUP("proper", inject!A:B, 2, FALSE)</f>
        <v>0</v>
      </c>
      <c r="N287" s="2"/>
      <c r="O287" s="2"/>
      <c r="P287">
        <f>O287 * VLOOKUP("kaltaparu", inject!A:B, 2, FALSE)</f>
        <v>0</v>
      </c>
      <c r="Q287" s="2"/>
    </row>
    <row r="288" spans="1:17">
      <c r="A288">
        <v>287</v>
      </c>
      <c r="B288" t="s">
        <v>299</v>
      </c>
      <c r="C288" s="2"/>
      <c r="D288">
        <f>C288 * VLOOKUP("adipura", inject!A:B, 2, FALSE)</f>
        <v>0</v>
      </c>
      <c r="E288" s="2"/>
      <c r="F288" s="2"/>
      <c r="G288">
        <f>F288 * VLOOKUP("adiwiyata", inject!A:B, 2, FALSE)</f>
        <v>0</v>
      </c>
      <c r="H288" s="2"/>
      <c r="I288" s="2"/>
      <c r="J288">
        <f>I288 * VLOOKUP("proklim", inject!A:B, 2, FALSE)</f>
        <v>0</v>
      </c>
      <c r="K288" s="2"/>
      <c r="L288" s="2"/>
      <c r="M288">
        <f>L288 * VLOOKUP("proper", inject!A:B, 2, FALSE)</f>
        <v>0</v>
      </c>
      <c r="N288" s="2"/>
      <c r="O288" s="2"/>
      <c r="P288">
        <f>O288 * VLOOKUP("kaltaparu", inject!A:B, 2, FALSE)</f>
        <v>0</v>
      </c>
      <c r="Q288" s="2"/>
    </row>
    <row r="289" spans="1:17">
      <c r="A289">
        <v>288</v>
      </c>
      <c r="B289" t="s">
        <v>300</v>
      </c>
      <c r="C289" s="2"/>
      <c r="D289">
        <f>C289 * VLOOKUP("adipura", inject!A:B, 2, FALSE)</f>
        <v>0</v>
      </c>
      <c r="E289" s="2"/>
      <c r="F289" s="2"/>
      <c r="G289">
        <f>F289 * VLOOKUP("adiwiyata", inject!A:B, 2, FALSE)</f>
        <v>0</v>
      </c>
      <c r="H289" s="2"/>
      <c r="I289" s="2"/>
      <c r="J289">
        <f>I289 * VLOOKUP("proklim", inject!A:B, 2, FALSE)</f>
        <v>0</v>
      </c>
      <c r="K289" s="2"/>
      <c r="L289" s="2"/>
      <c r="M289">
        <f>L289 * VLOOKUP("proper", inject!A:B, 2, FALSE)</f>
        <v>0</v>
      </c>
      <c r="N289" s="2"/>
      <c r="O289" s="2"/>
      <c r="P289">
        <f>O289 * VLOOKUP("kaltaparu", inject!A:B, 2, FALSE)</f>
        <v>0</v>
      </c>
      <c r="Q289" s="2"/>
    </row>
    <row r="290" spans="1:17">
      <c r="A290">
        <v>289</v>
      </c>
      <c r="B290" t="s">
        <v>301</v>
      </c>
      <c r="C290" s="2"/>
      <c r="D290">
        <f>C290 * VLOOKUP("adipura", inject!A:B, 2, FALSE)</f>
        <v>0</v>
      </c>
      <c r="E290" s="2"/>
      <c r="F290" s="2"/>
      <c r="G290">
        <f>F290 * VLOOKUP("adiwiyata", inject!A:B, 2, FALSE)</f>
        <v>0</v>
      </c>
      <c r="H290" s="2"/>
      <c r="I290" s="2"/>
      <c r="J290">
        <f>I290 * VLOOKUP("proklim", inject!A:B, 2, FALSE)</f>
        <v>0</v>
      </c>
      <c r="K290" s="2"/>
      <c r="L290" s="2"/>
      <c r="M290">
        <f>L290 * VLOOKUP("proper", inject!A:B, 2, FALSE)</f>
        <v>0</v>
      </c>
      <c r="N290" s="2"/>
      <c r="O290" s="2"/>
      <c r="P290">
        <f>O290 * VLOOKUP("kaltaparu", inject!A:B, 2, FALSE)</f>
        <v>0</v>
      </c>
      <c r="Q290" s="2"/>
    </row>
    <row r="291" spans="1:17">
      <c r="A291">
        <v>290</v>
      </c>
      <c r="B291" t="s">
        <v>302</v>
      </c>
      <c r="C291" s="2"/>
      <c r="D291">
        <f>C291 * VLOOKUP("adipura", inject!A:B, 2, FALSE)</f>
        <v>0</v>
      </c>
      <c r="E291" s="2"/>
      <c r="F291" s="2"/>
      <c r="G291">
        <f>F291 * VLOOKUP("adiwiyata", inject!A:B, 2, FALSE)</f>
        <v>0</v>
      </c>
      <c r="H291" s="2"/>
      <c r="I291" s="2"/>
      <c r="J291">
        <f>I291 * VLOOKUP("proklim", inject!A:B, 2, FALSE)</f>
        <v>0</v>
      </c>
      <c r="K291" s="2"/>
      <c r="L291" s="2"/>
      <c r="M291">
        <f>L291 * VLOOKUP("proper", inject!A:B, 2, FALSE)</f>
        <v>0</v>
      </c>
      <c r="N291" s="2"/>
      <c r="O291" s="2"/>
      <c r="P291">
        <f>O291 * VLOOKUP("kaltaparu", inject!A:B, 2, FALSE)</f>
        <v>0</v>
      </c>
      <c r="Q291" s="2"/>
    </row>
    <row r="292" spans="1:17">
      <c r="A292">
        <v>291</v>
      </c>
      <c r="B292" t="s">
        <v>303</v>
      </c>
      <c r="C292" s="2"/>
      <c r="D292">
        <f>C292 * VLOOKUP("adipura", inject!A:B, 2, FALSE)</f>
        <v>0</v>
      </c>
      <c r="E292" s="2"/>
      <c r="F292" s="2"/>
      <c r="G292">
        <f>F292 * VLOOKUP("adiwiyata", inject!A:B, 2, FALSE)</f>
        <v>0</v>
      </c>
      <c r="H292" s="2"/>
      <c r="I292" s="2"/>
      <c r="J292">
        <f>I292 * VLOOKUP("proklim", inject!A:B, 2, FALSE)</f>
        <v>0</v>
      </c>
      <c r="K292" s="2"/>
      <c r="L292" s="2"/>
      <c r="M292">
        <f>L292 * VLOOKUP("proper", inject!A:B, 2, FALSE)</f>
        <v>0</v>
      </c>
      <c r="N292" s="2"/>
      <c r="O292" s="2"/>
      <c r="P292">
        <f>O292 * VLOOKUP("kaltaparu", inject!A:B, 2, FALSE)</f>
        <v>0</v>
      </c>
      <c r="Q292" s="2"/>
    </row>
    <row r="293" spans="1:17">
      <c r="A293">
        <v>292</v>
      </c>
      <c r="B293" t="s">
        <v>304</v>
      </c>
      <c r="C293" s="2"/>
      <c r="D293">
        <f>C293 * VLOOKUP("adipura", inject!A:B, 2, FALSE)</f>
        <v>0</v>
      </c>
      <c r="E293" s="2"/>
      <c r="F293" s="2"/>
      <c r="G293">
        <f>F293 * VLOOKUP("adiwiyata", inject!A:B, 2, FALSE)</f>
        <v>0</v>
      </c>
      <c r="H293" s="2"/>
      <c r="I293" s="2"/>
      <c r="J293">
        <f>I293 * VLOOKUP("proklim", inject!A:B, 2, FALSE)</f>
        <v>0</v>
      </c>
      <c r="K293" s="2"/>
      <c r="L293" s="2"/>
      <c r="M293">
        <f>L293 * VLOOKUP("proper", inject!A:B, 2, FALSE)</f>
        <v>0</v>
      </c>
      <c r="N293" s="2"/>
      <c r="O293" s="2"/>
      <c r="P293">
        <f>O293 * VLOOKUP("kaltaparu", inject!A:B, 2, FALSE)</f>
        <v>0</v>
      </c>
      <c r="Q293" s="2"/>
    </row>
    <row r="294" spans="1:17">
      <c r="A294">
        <v>293</v>
      </c>
      <c r="B294" t="s">
        <v>305</v>
      </c>
      <c r="C294" s="2"/>
      <c r="D294">
        <f>C294 * VLOOKUP("adipura", inject!A:B, 2, FALSE)</f>
        <v>0</v>
      </c>
      <c r="E294" s="2"/>
      <c r="F294" s="2"/>
      <c r="G294">
        <f>F294 * VLOOKUP("adiwiyata", inject!A:B, 2, FALSE)</f>
        <v>0</v>
      </c>
      <c r="H294" s="2"/>
      <c r="I294" s="2"/>
      <c r="J294">
        <f>I294 * VLOOKUP("proklim", inject!A:B, 2, FALSE)</f>
        <v>0</v>
      </c>
      <c r="K294" s="2"/>
      <c r="L294" s="2"/>
      <c r="M294">
        <f>L294 * VLOOKUP("proper", inject!A:B, 2, FALSE)</f>
        <v>0</v>
      </c>
      <c r="N294" s="2"/>
      <c r="O294" s="2"/>
      <c r="P294">
        <f>O294 * VLOOKUP("kaltaparu", inject!A:B, 2, FALSE)</f>
        <v>0</v>
      </c>
      <c r="Q294" s="2"/>
    </row>
    <row r="295" spans="1:17">
      <c r="A295">
        <v>294</v>
      </c>
      <c r="B295" t="s">
        <v>306</v>
      </c>
      <c r="C295" s="2"/>
      <c r="D295">
        <f>C295 * VLOOKUP("adipura", inject!A:B, 2, FALSE)</f>
        <v>0</v>
      </c>
      <c r="E295" s="2"/>
      <c r="F295" s="2"/>
      <c r="G295">
        <f>F295 * VLOOKUP("adiwiyata", inject!A:B, 2, FALSE)</f>
        <v>0</v>
      </c>
      <c r="H295" s="2"/>
      <c r="I295" s="2"/>
      <c r="J295">
        <f>I295 * VLOOKUP("proklim", inject!A:B, 2, FALSE)</f>
        <v>0</v>
      </c>
      <c r="K295" s="2"/>
      <c r="L295" s="2"/>
      <c r="M295">
        <f>L295 * VLOOKUP("proper", inject!A:B, 2, FALSE)</f>
        <v>0</v>
      </c>
      <c r="N295" s="2"/>
      <c r="O295" s="2"/>
      <c r="P295">
        <f>O295 * VLOOKUP("kaltaparu", inject!A:B, 2, FALSE)</f>
        <v>0</v>
      </c>
      <c r="Q295" s="2"/>
    </row>
    <row r="296" spans="1:17">
      <c r="A296">
        <v>295</v>
      </c>
      <c r="B296" t="s">
        <v>307</v>
      </c>
      <c r="C296" s="2"/>
      <c r="D296">
        <f>C296 * VLOOKUP("adipura", inject!A:B, 2, FALSE)</f>
        <v>0</v>
      </c>
      <c r="E296" s="2"/>
      <c r="F296" s="2"/>
      <c r="G296">
        <f>F296 * VLOOKUP("adiwiyata", inject!A:B, 2, FALSE)</f>
        <v>0</v>
      </c>
      <c r="H296" s="2"/>
      <c r="I296" s="2"/>
      <c r="J296">
        <f>I296 * VLOOKUP("proklim", inject!A:B, 2, FALSE)</f>
        <v>0</v>
      </c>
      <c r="K296" s="2"/>
      <c r="L296" s="2"/>
      <c r="M296">
        <f>L296 * VLOOKUP("proper", inject!A:B, 2, FALSE)</f>
        <v>0</v>
      </c>
      <c r="N296" s="2"/>
      <c r="O296" s="2"/>
      <c r="P296">
        <f>O296 * VLOOKUP("kaltaparu", inject!A:B, 2, FALSE)</f>
        <v>0</v>
      </c>
      <c r="Q296" s="2"/>
    </row>
    <row r="297" spans="1:17">
      <c r="A297">
        <v>296</v>
      </c>
      <c r="B297" t="s">
        <v>308</v>
      </c>
      <c r="C297" s="2"/>
      <c r="D297">
        <f>C297 * VLOOKUP("adipura", inject!A:B, 2, FALSE)</f>
        <v>0</v>
      </c>
      <c r="E297" s="2"/>
      <c r="F297" s="2"/>
      <c r="G297">
        <f>F297 * VLOOKUP("adiwiyata", inject!A:B, 2, FALSE)</f>
        <v>0</v>
      </c>
      <c r="H297" s="2"/>
      <c r="I297" s="2"/>
      <c r="J297">
        <f>I297 * VLOOKUP("proklim", inject!A:B, 2, FALSE)</f>
        <v>0</v>
      </c>
      <c r="K297" s="2"/>
      <c r="L297" s="2"/>
      <c r="M297">
        <f>L297 * VLOOKUP("proper", inject!A:B, 2, FALSE)</f>
        <v>0</v>
      </c>
      <c r="N297" s="2"/>
      <c r="O297" s="2"/>
      <c r="P297">
        <f>O297 * VLOOKUP("kaltaparu", inject!A:B, 2, FALSE)</f>
        <v>0</v>
      </c>
      <c r="Q297" s="2"/>
    </row>
    <row r="298" spans="1:17">
      <c r="A298">
        <v>297</v>
      </c>
      <c r="B298" t="s">
        <v>309</v>
      </c>
      <c r="C298" s="2"/>
      <c r="D298">
        <f>C298 * VLOOKUP("adipura", inject!A:B, 2, FALSE)</f>
        <v>0</v>
      </c>
      <c r="E298" s="2"/>
      <c r="F298" s="2"/>
      <c r="G298">
        <f>F298 * VLOOKUP("adiwiyata", inject!A:B, 2, FALSE)</f>
        <v>0</v>
      </c>
      <c r="H298" s="2"/>
      <c r="I298" s="2"/>
      <c r="J298">
        <f>I298 * VLOOKUP("proklim", inject!A:B, 2, FALSE)</f>
        <v>0</v>
      </c>
      <c r="K298" s="2"/>
      <c r="L298" s="2"/>
      <c r="M298">
        <f>L298 * VLOOKUP("proper", inject!A:B, 2, FALSE)</f>
        <v>0</v>
      </c>
      <c r="N298" s="2"/>
      <c r="O298" s="2"/>
      <c r="P298">
        <f>O298 * VLOOKUP("kaltaparu", inject!A:B, 2, FALSE)</f>
        <v>0</v>
      </c>
      <c r="Q298" s="2"/>
    </row>
    <row r="299" spans="1:17">
      <c r="A299">
        <v>298</v>
      </c>
      <c r="B299" t="s">
        <v>310</v>
      </c>
      <c r="C299" s="2"/>
      <c r="D299">
        <f>C299 * VLOOKUP("adipura", inject!A:B, 2, FALSE)</f>
        <v>0</v>
      </c>
      <c r="E299" s="2"/>
      <c r="F299" s="2"/>
      <c r="G299">
        <f>F299 * VLOOKUP("adiwiyata", inject!A:B, 2, FALSE)</f>
        <v>0</v>
      </c>
      <c r="H299" s="2"/>
      <c r="I299" s="2"/>
      <c r="J299">
        <f>I299 * VLOOKUP("proklim", inject!A:B, 2, FALSE)</f>
        <v>0</v>
      </c>
      <c r="K299" s="2"/>
      <c r="L299" s="2"/>
      <c r="M299">
        <f>L299 * VLOOKUP("proper", inject!A:B, 2, FALSE)</f>
        <v>0</v>
      </c>
      <c r="N299" s="2"/>
      <c r="O299" s="2"/>
      <c r="P299">
        <f>O299 * VLOOKUP("kaltaparu", inject!A:B, 2, FALSE)</f>
        <v>0</v>
      </c>
      <c r="Q299" s="2"/>
    </row>
    <row r="300" spans="1:17">
      <c r="A300">
        <v>299</v>
      </c>
      <c r="B300" t="s">
        <v>311</v>
      </c>
      <c r="C300" s="2"/>
      <c r="D300">
        <f>C300 * VLOOKUP("adipura", inject!A:B, 2, FALSE)</f>
        <v>0</v>
      </c>
      <c r="E300" s="2"/>
      <c r="F300" s="2"/>
      <c r="G300">
        <f>F300 * VLOOKUP("adiwiyata", inject!A:B, 2, FALSE)</f>
        <v>0</v>
      </c>
      <c r="H300" s="2"/>
      <c r="I300" s="2"/>
      <c r="J300">
        <f>I300 * VLOOKUP("proklim", inject!A:B, 2, FALSE)</f>
        <v>0</v>
      </c>
      <c r="K300" s="2"/>
      <c r="L300" s="2"/>
      <c r="M300">
        <f>L300 * VLOOKUP("proper", inject!A:B, 2, FALSE)</f>
        <v>0</v>
      </c>
      <c r="N300" s="2"/>
      <c r="O300" s="2"/>
      <c r="P300">
        <f>O300 * VLOOKUP("kaltaparu", inject!A:B, 2, FALSE)</f>
        <v>0</v>
      </c>
      <c r="Q300" s="2"/>
    </row>
    <row r="301" spans="1:17">
      <c r="A301">
        <v>300</v>
      </c>
      <c r="B301" t="s">
        <v>312</v>
      </c>
      <c r="C301" s="2"/>
      <c r="D301">
        <f>C301 * VLOOKUP("adipura", inject!A:B, 2, FALSE)</f>
        <v>0</v>
      </c>
      <c r="E301" s="2"/>
      <c r="F301" s="2"/>
      <c r="G301">
        <f>F301 * VLOOKUP("adiwiyata", inject!A:B, 2, FALSE)</f>
        <v>0</v>
      </c>
      <c r="H301" s="2"/>
      <c r="I301" s="2"/>
      <c r="J301">
        <f>I301 * VLOOKUP("proklim", inject!A:B, 2, FALSE)</f>
        <v>0</v>
      </c>
      <c r="K301" s="2"/>
      <c r="L301" s="2"/>
      <c r="M301">
        <f>L301 * VLOOKUP("proper", inject!A:B, 2, FALSE)</f>
        <v>0</v>
      </c>
      <c r="N301" s="2"/>
      <c r="O301" s="2"/>
      <c r="P301">
        <f>O301 * VLOOKUP("kaltaparu", inject!A:B, 2, FALSE)</f>
        <v>0</v>
      </c>
      <c r="Q301" s="2"/>
    </row>
    <row r="302" spans="1:17">
      <c r="A302">
        <v>301</v>
      </c>
      <c r="B302" t="s">
        <v>313</v>
      </c>
      <c r="C302" s="2"/>
      <c r="D302">
        <f>C302 * VLOOKUP("adipura", inject!A:B, 2, FALSE)</f>
        <v>0</v>
      </c>
      <c r="E302" s="2"/>
      <c r="F302" s="2"/>
      <c r="G302">
        <f>F302 * VLOOKUP("adiwiyata", inject!A:B, 2, FALSE)</f>
        <v>0</v>
      </c>
      <c r="H302" s="2"/>
      <c r="I302" s="2"/>
      <c r="J302">
        <f>I302 * VLOOKUP("proklim", inject!A:B, 2, FALSE)</f>
        <v>0</v>
      </c>
      <c r="K302" s="2"/>
      <c r="L302" s="2"/>
      <c r="M302">
        <f>L302 * VLOOKUP("proper", inject!A:B, 2, FALSE)</f>
        <v>0</v>
      </c>
      <c r="N302" s="2"/>
      <c r="O302" s="2"/>
      <c r="P302">
        <f>O302 * VLOOKUP("kaltaparu", inject!A:B, 2, FALSE)</f>
        <v>0</v>
      </c>
      <c r="Q302" s="2"/>
    </row>
    <row r="303" spans="1:17">
      <c r="A303">
        <v>302</v>
      </c>
      <c r="B303" t="s">
        <v>314</v>
      </c>
      <c r="C303" s="2"/>
      <c r="D303">
        <f>C303 * VLOOKUP("adipura", inject!A:B, 2, FALSE)</f>
        <v>0</v>
      </c>
      <c r="E303" s="2"/>
      <c r="F303" s="2"/>
      <c r="G303">
        <f>F303 * VLOOKUP("adiwiyata", inject!A:B, 2, FALSE)</f>
        <v>0</v>
      </c>
      <c r="H303" s="2"/>
      <c r="I303" s="2"/>
      <c r="J303">
        <f>I303 * VLOOKUP("proklim", inject!A:B, 2, FALSE)</f>
        <v>0</v>
      </c>
      <c r="K303" s="2"/>
      <c r="L303" s="2"/>
      <c r="M303">
        <f>L303 * VLOOKUP("proper", inject!A:B, 2, FALSE)</f>
        <v>0</v>
      </c>
      <c r="N303" s="2"/>
      <c r="O303" s="2"/>
      <c r="P303">
        <f>O303 * VLOOKUP("kaltaparu", inject!A:B, 2, FALSE)</f>
        <v>0</v>
      </c>
      <c r="Q303" s="2"/>
    </row>
    <row r="304" spans="1:17">
      <c r="A304">
        <v>303</v>
      </c>
      <c r="B304" t="s">
        <v>315</v>
      </c>
      <c r="C304" s="2"/>
      <c r="D304">
        <f>C304 * VLOOKUP("adipura", inject!A:B, 2, FALSE)</f>
        <v>0</v>
      </c>
      <c r="E304" s="2"/>
      <c r="F304" s="2"/>
      <c r="G304">
        <f>F304 * VLOOKUP("adiwiyata", inject!A:B, 2, FALSE)</f>
        <v>0</v>
      </c>
      <c r="H304" s="2"/>
      <c r="I304" s="2"/>
      <c r="J304">
        <f>I304 * VLOOKUP("proklim", inject!A:B, 2, FALSE)</f>
        <v>0</v>
      </c>
      <c r="K304" s="2"/>
      <c r="L304" s="2"/>
      <c r="M304">
        <f>L304 * VLOOKUP("proper", inject!A:B, 2, FALSE)</f>
        <v>0</v>
      </c>
      <c r="N304" s="2"/>
      <c r="O304" s="2"/>
      <c r="P304">
        <f>O304 * VLOOKUP("kaltaparu", inject!A:B, 2, FALSE)</f>
        <v>0</v>
      </c>
      <c r="Q304" s="2"/>
    </row>
    <row r="305" spans="1:17">
      <c r="A305">
        <v>304</v>
      </c>
      <c r="B305" t="s">
        <v>316</v>
      </c>
      <c r="C305" s="2"/>
      <c r="D305">
        <f>C305 * VLOOKUP("adipura", inject!A:B, 2, FALSE)</f>
        <v>0</v>
      </c>
      <c r="E305" s="2"/>
      <c r="F305" s="2"/>
      <c r="G305">
        <f>F305 * VLOOKUP("adiwiyata", inject!A:B, 2, FALSE)</f>
        <v>0</v>
      </c>
      <c r="H305" s="2"/>
      <c r="I305" s="2"/>
      <c r="J305">
        <f>I305 * VLOOKUP("proklim", inject!A:B, 2, FALSE)</f>
        <v>0</v>
      </c>
      <c r="K305" s="2"/>
      <c r="L305" s="2"/>
      <c r="M305">
        <f>L305 * VLOOKUP("proper", inject!A:B, 2, FALSE)</f>
        <v>0</v>
      </c>
      <c r="N305" s="2"/>
      <c r="O305" s="2"/>
      <c r="P305">
        <f>O305 * VLOOKUP("kaltaparu", inject!A:B, 2, FALSE)</f>
        <v>0</v>
      </c>
      <c r="Q305" s="2"/>
    </row>
    <row r="306" spans="1:17">
      <c r="A306">
        <v>305</v>
      </c>
      <c r="B306" t="s">
        <v>317</v>
      </c>
      <c r="C306" s="2"/>
      <c r="D306">
        <f>C306 * VLOOKUP("adipura", inject!A:B, 2, FALSE)</f>
        <v>0</v>
      </c>
      <c r="E306" s="2"/>
      <c r="F306" s="2"/>
      <c r="G306">
        <f>F306 * VLOOKUP("adiwiyata", inject!A:B, 2, FALSE)</f>
        <v>0</v>
      </c>
      <c r="H306" s="2"/>
      <c r="I306" s="2"/>
      <c r="J306">
        <f>I306 * VLOOKUP("proklim", inject!A:B, 2, FALSE)</f>
        <v>0</v>
      </c>
      <c r="K306" s="2"/>
      <c r="L306" s="2"/>
      <c r="M306">
        <f>L306 * VLOOKUP("proper", inject!A:B, 2, FALSE)</f>
        <v>0</v>
      </c>
      <c r="N306" s="2"/>
      <c r="O306" s="2"/>
      <c r="P306">
        <f>O306 * VLOOKUP("kaltaparu", inject!A:B, 2, FALSE)</f>
        <v>0</v>
      </c>
      <c r="Q306" s="2"/>
    </row>
    <row r="307" spans="1:17">
      <c r="A307">
        <v>306</v>
      </c>
      <c r="B307" t="s">
        <v>318</v>
      </c>
      <c r="C307" s="2"/>
      <c r="D307">
        <f>C307 * VLOOKUP("adipura", inject!A:B, 2, FALSE)</f>
        <v>0</v>
      </c>
      <c r="E307" s="2"/>
      <c r="F307" s="2"/>
      <c r="G307">
        <f>F307 * VLOOKUP("adiwiyata", inject!A:B, 2, FALSE)</f>
        <v>0</v>
      </c>
      <c r="H307" s="2"/>
      <c r="I307" s="2"/>
      <c r="J307">
        <f>I307 * VLOOKUP("proklim", inject!A:B, 2, FALSE)</f>
        <v>0</v>
      </c>
      <c r="K307" s="2"/>
      <c r="L307" s="2"/>
      <c r="M307">
        <f>L307 * VLOOKUP("proper", inject!A:B, 2, FALSE)</f>
        <v>0</v>
      </c>
      <c r="N307" s="2"/>
      <c r="O307" s="2"/>
      <c r="P307">
        <f>O307 * VLOOKUP("kaltaparu", inject!A:B, 2, FALSE)</f>
        <v>0</v>
      </c>
      <c r="Q307" s="2"/>
    </row>
    <row r="308" spans="1:17">
      <c r="A308">
        <v>307</v>
      </c>
      <c r="B308" t="s">
        <v>319</v>
      </c>
      <c r="C308" s="2"/>
      <c r="D308">
        <f>C308 * VLOOKUP("adipura", inject!A:B, 2, FALSE)</f>
        <v>0</v>
      </c>
      <c r="E308" s="2"/>
      <c r="F308" s="2"/>
      <c r="G308">
        <f>F308 * VLOOKUP("adiwiyata", inject!A:B, 2, FALSE)</f>
        <v>0</v>
      </c>
      <c r="H308" s="2"/>
      <c r="I308" s="2"/>
      <c r="J308">
        <f>I308 * VLOOKUP("proklim", inject!A:B, 2, FALSE)</f>
        <v>0</v>
      </c>
      <c r="K308" s="2"/>
      <c r="L308" s="2"/>
      <c r="M308">
        <f>L308 * VLOOKUP("proper", inject!A:B, 2, FALSE)</f>
        <v>0</v>
      </c>
      <c r="N308" s="2"/>
      <c r="O308" s="2"/>
      <c r="P308">
        <f>O308 * VLOOKUP("kaltaparu", inject!A:B, 2, FALSE)</f>
        <v>0</v>
      </c>
      <c r="Q308" s="2"/>
    </row>
    <row r="309" spans="1:17">
      <c r="A309">
        <v>308</v>
      </c>
      <c r="B309" t="s">
        <v>320</v>
      </c>
      <c r="C309" s="2"/>
      <c r="D309">
        <f>C309 * VLOOKUP("adipura", inject!A:B, 2, FALSE)</f>
        <v>0</v>
      </c>
      <c r="E309" s="2"/>
      <c r="F309" s="2"/>
      <c r="G309">
        <f>F309 * VLOOKUP("adiwiyata", inject!A:B, 2, FALSE)</f>
        <v>0</v>
      </c>
      <c r="H309" s="2"/>
      <c r="I309" s="2"/>
      <c r="J309">
        <f>I309 * VLOOKUP("proklim", inject!A:B, 2, FALSE)</f>
        <v>0</v>
      </c>
      <c r="K309" s="2"/>
      <c r="L309" s="2"/>
      <c r="M309">
        <f>L309 * VLOOKUP("proper", inject!A:B, 2, FALSE)</f>
        <v>0</v>
      </c>
      <c r="N309" s="2"/>
      <c r="O309" s="2"/>
      <c r="P309">
        <f>O309 * VLOOKUP("kaltaparu", inject!A:B, 2, FALSE)</f>
        <v>0</v>
      </c>
      <c r="Q309" s="2"/>
    </row>
    <row r="310" spans="1:17">
      <c r="A310">
        <v>309</v>
      </c>
      <c r="B310" t="s">
        <v>321</v>
      </c>
      <c r="C310" s="2"/>
      <c r="D310">
        <f>C310 * VLOOKUP("adipura", inject!A:B, 2, FALSE)</f>
        <v>0</v>
      </c>
      <c r="E310" s="2"/>
      <c r="F310" s="2"/>
      <c r="G310">
        <f>F310 * VLOOKUP("adiwiyata", inject!A:B, 2, FALSE)</f>
        <v>0</v>
      </c>
      <c r="H310" s="2"/>
      <c r="I310" s="2"/>
      <c r="J310">
        <f>I310 * VLOOKUP("proklim", inject!A:B, 2, FALSE)</f>
        <v>0</v>
      </c>
      <c r="K310" s="2"/>
      <c r="L310" s="2"/>
      <c r="M310">
        <f>L310 * VLOOKUP("proper", inject!A:B, 2, FALSE)</f>
        <v>0</v>
      </c>
      <c r="N310" s="2"/>
      <c r="O310" s="2"/>
      <c r="P310">
        <f>O310 * VLOOKUP("kaltaparu", inject!A:B, 2, FALSE)</f>
        <v>0</v>
      </c>
      <c r="Q310" s="2"/>
    </row>
    <row r="311" spans="1:17">
      <c r="A311">
        <v>310</v>
      </c>
      <c r="B311" t="s">
        <v>322</v>
      </c>
      <c r="C311" s="2"/>
      <c r="D311">
        <f>C311 * VLOOKUP("adipura", inject!A:B, 2, FALSE)</f>
        <v>0</v>
      </c>
      <c r="E311" s="2"/>
      <c r="F311" s="2"/>
      <c r="G311">
        <f>F311 * VLOOKUP("adiwiyata", inject!A:B, 2, FALSE)</f>
        <v>0</v>
      </c>
      <c r="H311" s="2"/>
      <c r="I311" s="2"/>
      <c r="J311">
        <f>I311 * VLOOKUP("proklim", inject!A:B, 2, FALSE)</f>
        <v>0</v>
      </c>
      <c r="K311" s="2"/>
      <c r="L311" s="2"/>
      <c r="M311">
        <f>L311 * VLOOKUP("proper", inject!A:B, 2, FALSE)</f>
        <v>0</v>
      </c>
      <c r="N311" s="2"/>
      <c r="O311" s="2"/>
      <c r="P311">
        <f>O311 * VLOOKUP("kaltaparu", inject!A:B, 2, FALSE)</f>
        <v>0</v>
      </c>
      <c r="Q311" s="2"/>
    </row>
    <row r="312" spans="1:17">
      <c r="A312">
        <v>311</v>
      </c>
      <c r="B312" t="s">
        <v>323</v>
      </c>
      <c r="C312" s="2"/>
      <c r="D312">
        <f>C312 * VLOOKUP("adipura", inject!A:B, 2, FALSE)</f>
        <v>0</v>
      </c>
      <c r="E312" s="2"/>
      <c r="F312" s="2"/>
      <c r="G312">
        <f>F312 * VLOOKUP("adiwiyata", inject!A:B, 2, FALSE)</f>
        <v>0</v>
      </c>
      <c r="H312" s="2"/>
      <c r="I312" s="2"/>
      <c r="J312">
        <f>I312 * VLOOKUP("proklim", inject!A:B, 2, FALSE)</f>
        <v>0</v>
      </c>
      <c r="K312" s="2"/>
      <c r="L312" s="2"/>
      <c r="M312">
        <f>L312 * VLOOKUP("proper", inject!A:B, 2, FALSE)</f>
        <v>0</v>
      </c>
      <c r="N312" s="2"/>
      <c r="O312" s="2"/>
      <c r="P312">
        <f>O312 * VLOOKUP("kaltaparu", inject!A:B, 2, FALSE)</f>
        <v>0</v>
      </c>
      <c r="Q312" s="2"/>
    </row>
    <row r="313" spans="1:17">
      <c r="A313">
        <v>312</v>
      </c>
      <c r="B313" t="s">
        <v>324</v>
      </c>
      <c r="C313" s="2"/>
      <c r="D313">
        <f>C313 * VLOOKUP("adipura", inject!A:B, 2, FALSE)</f>
        <v>0</v>
      </c>
      <c r="E313" s="2"/>
      <c r="F313" s="2"/>
      <c r="G313">
        <f>F313 * VLOOKUP("adiwiyata", inject!A:B, 2, FALSE)</f>
        <v>0</v>
      </c>
      <c r="H313" s="2"/>
      <c r="I313" s="2"/>
      <c r="J313">
        <f>I313 * VLOOKUP("proklim", inject!A:B, 2, FALSE)</f>
        <v>0</v>
      </c>
      <c r="K313" s="2"/>
      <c r="L313" s="2"/>
      <c r="M313">
        <f>L313 * VLOOKUP("proper", inject!A:B, 2, FALSE)</f>
        <v>0</v>
      </c>
      <c r="N313" s="2"/>
      <c r="O313" s="2"/>
      <c r="P313">
        <f>O313 * VLOOKUP("kaltaparu", inject!A:B, 2, FALSE)</f>
        <v>0</v>
      </c>
      <c r="Q313" s="2"/>
    </row>
    <row r="314" spans="1:17">
      <c r="A314">
        <v>313</v>
      </c>
      <c r="B314" t="s">
        <v>325</v>
      </c>
      <c r="C314" s="2"/>
      <c r="D314">
        <f>C314 * VLOOKUP("adipura", inject!A:B, 2, FALSE)</f>
        <v>0</v>
      </c>
      <c r="E314" s="2"/>
      <c r="F314" s="2"/>
      <c r="G314">
        <f>F314 * VLOOKUP("adiwiyata", inject!A:B, 2, FALSE)</f>
        <v>0</v>
      </c>
      <c r="H314" s="2"/>
      <c r="I314" s="2"/>
      <c r="J314">
        <f>I314 * VLOOKUP("proklim", inject!A:B, 2, FALSE)</f>
        <v>0</v>
      </c>
      <c r="K314" s="2"/>
      <c r="L314" s="2"/>
      <c r="M314">
        <f>L314 * VLOOKUP("proper", inject!A:B, 2, FALSE)</f>
        <v>0</v>
      </c>
      <c r="N314" s="2"/>
      <c r="O314" s="2"/>
      <c r="P314">
        <f>O314 * VLOOKUP("kaltaparu", inject!A:B, 2, FALSE)</f>
        <v>0</v>
      </c>
      <c r="Q314" s="2"/>
    </row>
    <row r="315" spans="1:17">
      <c r="A315">
        <v>314</v>
      </c>
      <c r="B315" t="s">
        <v>326</v>
      </c>
      <c r="C315" s="2"/>
      <c r="D315">
        <f>C315 * VLOOKUP("adipura", inject!A:B, 2, FALSE)</f>
        <v>0</v>
      </c>
      <c r="E315" s="2"/>
      <c r="F315" s="2"/>
      <c r="G315">
        <f>F315 * VLOOKUP("adiwiyata", inject!A:B, 2, FALSE)</f>
        <v>0</v>
      </c>
      <c r="H315" s="2"/>
      <c r="I315" s="2"/>
      <c r="J315">
        <f>I315 * VLOOKUP("proklim", inject!A:B, 2, FALSE)</f>
        <v>0</v>
      </c>
      <c r="K315" s="2"/>
      <c r="L315" s="2"/>
      <c r="M315">
        <f>L315 * VLOOKUP("proper", inject!A:B, 2, FALSE)</f>
        <v>0</v>
      </c>
      <c r="N315" s="2"/>
      <c r="O315" s="2"/>
      <c r="P315">
        <f>O315 * VLOOKUP("kaltaparu", inject!A:B, 2, FALSE)</f>
        <v>0</v>
      </c>
      <c r="Q315" s="2"/>
    </row>
    <row r="316" spans="1:17">
      <c r="A316">
        <v>315</v>
      </c>
      <c r="B316" t="s">
        <v>327</v>
      </c>
      <c r="C316" s="2"/>
      <c r="D316">
        <f>C316 * VLOOKUP("adipura", inject!A:B, 2, FALSE)</f>
        <v>0</v>
      </c>
      <c r="E316" s="2"/>
      <c r="F316" s="2"/>
      <c r="G316">
        <f>F316 * VLOOKUP("adiwiyata", inject!A:B, 2, FALSE)</f>
        <v>0</v>
      </c>
      <c r="H316" s="2"/>
      <c r="I316" s="2"/>
      <c r="J316">
        <f>I316 * VLOOKUP("proklim", inject!A:B, 2, FALSE)</f>
        <v>0</v>
      </c>
      <c r="K316" s="2"/>
      <c r="L316" s="2"/>
      <c r="M316">
        <f>L316 * VLOOKUP("proper", inject!A:B, 2, FALSE)</f>
        <v>0</v>
      </c>
      <c r="N316" s="2"/>
      <c r="O316" s="2"/>
      <c r="P316">
        <f>O316 * VLOOKUP("kaltaparu", inject!A:B, 2, FALSE)</f>
        <v>0</v>
      </c>
      <c r="Q316" s="2"/>
    </row>
    <row r="317" spans="1:17">
      <c r="A317">
        <v>316</v>
      </c>
      <c r="B317" t="s">
        <v>328</v>
      </c>
      <c r="C317" s="2"/>
      <c r="D317">
        <f>C317 * VLOOKUP("adipura", inject!A:B, 2, FALSE)</f>
        <v>0</v>
      </c>
      <c r="E317" s="2"/>
      <c r="F317" s="2"/>
      <c r="G317">
        <f>F317 * VLOOKUP("adiwiyata", inject!A:B, 2, FALSE)</f>
        <v>0</v>
      </c>
      <c r="H317" s="2"/>
      <c r="I317" s="2"/>
      <c r="J317">
        <f>I317 * VLOOKUP("proklim", inject!A:B, 2, FALSE)</f>
        <v>0</v>
      </c>
      <c r="K317" s="2"/>
      <c r="L317" s="2"/>
      <c r="M317">
        <f>L317 * VLOOKUP("proper", inject!A:B, 2, FALSE)</f>
        <v>0</v>
      </c>
      <c r="N317" s="2"/>
      <c r="O317" s="2"/>
      <c r="P317">
        <f>O317 * VLOOKUP("kaltaparu", inject!A:B, 2, FALSE)</f>
        <v>0</v>
      </c>
      <c r="Q317" s="2"/>
    </row>
    <row r="318" spans="1:17">
      <c r="A318">
        <v>317</v>
      </c>
      <c r="B318" t="s">
        <v>329</v>
      </c>
      <c r="C318" s="2"/>
      <c r="D318">
        <f>C318 * VLOOKUP("adipura", inject!A:B, 2, FALSE)</f>
        <v>0</v>
      </c>
      <c r="E318" s="2"/>
      <c r="F318" s="2"/>
      <c r="G318">
        <f>F318 * VLOOKUP("adiwiyata", inject!A:B, 2, FALSE)</f>
        <v>0</v>
      </c>
      <c r="H318" s="2"/>
      <c r="I318" s="2"/>
      <c r="J318">
        <f>I318 * VLOOKUP("proklim", inject!A:B, 2, FALSE)</f>
        <v>0</v>
      </c>
      <c r="K318" s="2"/>
      <c r="L318" s="2"/>
      <c r="M318">
        <f>L318 * VLOOKUP("proper", inject!A:B, 2, FALSE)</f>
        <v>0</v>
      </c>
      <c r="N318" s="2"/>
      <c r="O318" s="2"/>
      <c r="P318">
        <f>O318 * VLOOKUP("kaltaparu", inject!A:B, 2, FALSE)</f>
        <v>0</v>
      </c>
      <c r="Q318" s="2"/>
    </row>
    <row r="319" spans="1:17">
      <c r="A319">
        <v>318</v>
      </c>
      <c r="B319" t="s">
        <v>330</v>
      </c>
      <c r="C319" s="2"/>
      <c r="D319">
        <f>C319 * VLOOKUP("adipura", inject!A:B, 2, FALSE)</f>
        <v>0</v>
      </c>
      <c r="E319" s="2"/>
      <c r="F319" s="2"/>
      <c r="G319">
        <f>F319 * VLOOKUP("adiwiyata", inject!A:B, 2, FALSE)</f>
        <v>0</v>
      </c>
      <c r="H319" s="2"/>
      <c r="I319" s="2"/>
      <c r="J319">
        <f>I319 * VLOOKUP("proklim", inject!A:B, 2, FALSE)</f>
        <v>0</v>
      </c>
      <c r="K319" s="2"/>
      <c r="L319" s="2"/>
      <c r="M319">
        <f>L319 * VLOOKUP("proper", inject!A:B, 2, FALSE)</f>
        <v>0</v>
      </c>
      <c r="N319" s="2"/>
      <c r="O319" s="2"/>
      <c r="P319">
        <f>O319 * VLOOKUP("kaltaparu", inject!A:B, 2, FALSE)</f>
        <v>0</v>
      </c>
      <c r="Q319" s="2"/>
    </row>
    <row r="320" spans="1:17">
      <c r="A320">
        <v>319</v>
      </c>
      <c r="B320" t="s">
        <v>331</v>
      </c>
      <c r="C320" s="2"/>
      <c r="D320">
        <f>C320 * VLOOKUP("adipura", inject!A:B, 2, FALSE)</f>
        <v>0</v>
      </c>
      <c r="E320" s="2"/>
      <c r="F320" s="2"/>
      <c r="G320">
        <f>F320 * VLOOKUP("adiwiyata", inject!A:B, 2, FALSE)</f>
        <v>0</v>
      </c>
      <c r="H320" s="2"/>
      <c r="I320" s="2"/>
      <c r="J320">
        <f>I320 * VLOOKUP("proklim", inject!A:B, 2, FALSE)</f>
        <v>0</v>
      </c>
      <c r="K320" s="2"/>
      <c r="L320" s="2"/>
      <c r="M320">
        <f>L320 * VLOOKUP("proper", inject!A:B, 2, FALSE)</f>
        <v>0</v>
      </c>
      <c r="N320" s="2"/>
      <c r="O320" s="2"/>
      <c r="P320">
        <f>O320 * VLOOKUP("kaltaparu", inject!A:B, 2, FALSE)</f>
        <v>0</v>
      </c>
      <c r="Q320" s="2"/>
    </row>
    <row r="321" spans="1:17">
      <c r="A321">
        <v>320</v>
      </c>
      <c r="B321" t="s">
        <v>332</v>
      </c>
      <c r="C321" s="2"/>
      <c r="D321">
        <f>C321 * VLOOKUP("adipura", inject!A:B, 2, FALSE)</f>
        <v>0</v>
      </c>
      <c r="E321" s="2"/>
      <c r="F321" s="2"/>
      <c r="G321">
        <f>F321 * VLOOKUP("adiwiyata", inject!A:B, 2, FALSE)</f>
        <v>0</v>
      </c>
      <c r="H321" s="2"/>
      <c r="I321" s="2"/>
      <c r="J321">
        <f>I321 * VLOOKUP("proklim", inject!A:B, 2, FALSE)</f>
        <v>0</v>
      </c>
      <c r="K321" s="2"/>
      <c r="L321" s="2"/>
      <c r="M321">
        <f>L321 * VLOOKUP("proper", inject!A:B, 2, FALSE)</f>
        <v>0</v>
      </c>
      <c r="N321" s="2"/>
      <c r="O321" s="2"/>
      <c r="P321">
        <f>O321 * VLOOKUP("kaltaparu", inject!A:B, 2, FALSE)</f>
        <v>0</v>
      </c>
      <c r="Q321" s="2"/>
    </row>
    <row r="322" spans="1:17">
      <c r="A322">
        <v>321</v>
      </c>
      <c r="B322" t="s">
        <v>333</v>
      </c>
      <c r="C322" s="2"/>
      <c r="D322">
        <f>C322 * VLOOKUP("adipura", inject!A:B, 2, FALSE)</f>
        <v>0</v>
      </c>
      <c r="E322" s="2"/>
      <c r="F322" s="2"/>
      <c r="G322">
        <f>F322 * VLOOKUP("adiwiyata", inject!A:B, 2, FALSE)</f>
        <v>0</v>
      </c>
      <c r="H322" s="2"/>
      <c r="I322" s="2"/>
      <c r="J322">
        <f>I322 * VLOOKUP("proklim", inject!A:B, 2, FALSE)</f>
        <v>0</v>
      </c>
      <c r="K322" s="2"/>
      <c r="L322" s="2"/>
      <c r="M322">
        <f>L322 * VLOOKUP("proper", inject!A:B, 2, FALSE)</f>
        <v>0</v>
      </c>
      <c r="N322" s="2"/>
      <c r="O322" s="2"/>
      <c r="P322">
        <f>O322 * VLOOKUP("kaltaparu", inject!A:B, 2, FALSE)</f>
        <v>0</v>
      </c>
      <c r="Q322" s="2"/>
    </row>
    <row r="323" spans="1:17">
      <c r="A323">
        <v>322</v>
      </c>
      <c r="B323" t="s">
        <v>334</v>
      </c>
      <c r="C323" s="2"/>
      <c r="D323">
        <f>C323 * VLOOKUP("adipura", inject!A:B, 2, FALSE)</f>
        <v>0</v>
      </c>
      <c r="E323" s="2"/>
      <c r="F323" s="2"/>
      <c r="G323">
        <f>F323 * VLOOKUP("adiwiyata", inject!A:B, 2, FALSE)</f>
        <v>0</v>
      </c>
      <c r="H323" s="2"/>
      <c r="I323" s="2"/>
      <c r="J323">
        <f>I323 * VLOOKUP("proklim", inject!A:B, 2, FALSE)</f>
        <v>0</v>
      </c>
      <c r="K323" s="2"/>
      <c r="L323" s="2"/>
      <c r="M323">
        <f>L323 * VLOOKUP("proper", inject!A:B, 2, FALSE)</f>
        <v>0</v>
      </c>
      <c r="N323" s="2"/>
      <c r="O323" s="2"/>
      <c r="P323">
        <f>O323 * VLOOKUP("kaltaparu", inject!A:B, 2, FALSE)</f>
        <v>0</v>
      </c>
      <c r="Q323" s="2"/>
    </row>
    <row r="324" spans="1:17">
      <c r="A324">
        <v>323</v>
      </c>
      <c r="B324" t="s">
        <v>335</v>
      </c>
      <c r="C324" s="2"/>
      <c r="D324">
        <f>C324 * VLOOKUP("adipura", inject!A:B, 2, FALSE)</f>
        <v>0</v>
      </c>
      <c r="E324" s="2"/>
      <c r="F324" s="2"/>
      <c r="G324">
        <f>F324 * VLOOKUP("adiwiyata", inject!A:B, 2, FALSE)</f>
        <v>0</v>
      </c>
      <c r="H324" s="2"/>
      <c r="I324" s="2"/>
      <c r="J324">
        <f>I324 * VLOOKUP("proklim", inject!A:B, 2, FALSE)</f>
        <v>0</v>
      </c>
      <c r="K324" s="2"/>
      <c r="L324" s="2"/>
      <c r="M324">
        <f>L324 * VLOOKUP("proper", inject!A:B, 2, FALSE)</f>
        <v>0</v>
      </c>
      <c r="N324" s="2"/>
      <c r="O324" s="2"/>
      <c r="P324">
        <f>O324 * VLOOKUP("kaltaparu", inject!A:B, 2, FALSE)</f>
        <v>0</v>
      </c>
      <c r="Q324" s="2"/>
    </row>
    <row r="325" spans="1:17">
      <c r="A325">
        <v>324</v>
      </c>
      <c r="B325" t="s">
        <v>336</v>
      </c>
      <c r="C325" s="2"/>
      <c r="D325">
        <f>C325 * VLOOKUP("adipura", inject!A:B, 2, FALSE)</f>
        <v>0</v>
      </c>
      <c r="E325" s="2"/>
      <c r="F325" s="2"/>
      <c r="G325">
        <f>F325 * VLOOKUP("adiwiyata", inject!A:B, 2, FALSE)</f>
        <v>0</v>
      </c>
      <c r="H325" s="2"/>
      <c r="I325" s="2"/>
      <c r="J325">
        <f>I325 * VLOOKUP("proklim", inject!A:B, 2, FALSE)</f>
        <v>0</v>
      </c>
      <c r="K325" s="2"/>
      <c r="L325" s="2"/>
      <c r="M325">
        <f>L325 * VLOOKUP("proper", inject!A:B, 2, FALSE)</f>
        <v>0</v>
      </c>
      <c r="N325" s="2"/>
      <c r="O325" s="2"/>
      <c r="P325">
        <f>O325 * VLOOKUP("kaltaparu", inject!A:B, 2, FALSE)</f>
        <v>0</v>
      </c>
      <c r="Q325" s="2"/>
    </row>
    <row r="326" spans="1:17">
      <c r="A326">
        <v>325</v>
      </c>
      <c r="B326" t="s">
        <v>337</v>
      </c>
      <c r="C326" s="2"/>
      <c r="D326">
        <f>C326 * VLOOKUP("adipura", inject!A:B, 2, FALSE)</f>
        <v>0</v>
      </c>
      <c r="E326" s="2"/>
      <c r="F326" s="2"/>
      <c r="G326">
        <f>F326 * VLOOKUP("adiwiyata", inject!A:B, 2, FALSE)</f>
        <v>0</v>
      </c>
      <c r="H326" s="2"/>
      <c r="I326" s="2"/>
      <c r="J326">
        <f>I326 * VLOOKUP("proklim", inject!A:B, 2, FALSE)</f>
        <v>0</v>
      </c>
      <c r="K326" s="2"/>
      <c r="L326" s="2"/>
      <c r="M326">
        <f>L326 * VLOOKUP("proper", inject!A:B, 2, FALSE)</f>
        <v>0</v>
      </c>
      <c r="N326" s="2"/>
      <c r="O326" s="2"/>
      <c r="P326">
        <f>O326 * VLOOKUP("kaltaparu", inject!A:B, 2, FALSE)</f>
        <v>0</v>
      </c>
      <c r="Q326" s="2"/>
    </row>
    <row r="327" spans="1:17">
      <c r="A327">
        <v>326</v>
      </c>
      <c r="B327" t="s">
        <v>338</v>
      </c>
      <c r="C327" s="2"/>
      <c r="D327">
        <f>C327 * VLOOKUP("adipura", inject!A:B, 2, FALSE)</f>
        <v>0</v>
      </c>
      <c r="E327" s="2"/>
      <c r="F327" s="2"/>
      <c r="G327">
        <f>F327 * VLOOKUP("adiwiyata", inject!A:B, 2, FALSE)</f>
        <v>0</v>
      </c>
      <c r="H327" s="2"/>
      <c r="I327" s="2"/>
      <c r="J327">
        <f>I327 * VLOOKUP("proklim", inject!A:B, 2, FALSE)</f>
        <v>0</v>
      </c>
      <c r="K327" s="2"/>
      <c r="L327" s="2"/>
      <c r="M327">
        <f>L327 * VLOOKUP("proper", inject!A:B, 2, FALSE)</f>
        <v>0</v>
      </c>
      <c r="N327" s="2"/>
      <c r="O327" s="2"/>
      <c r="P327">
        <f>O327 * VLOOKUP("kaltaparu", inject!A:B, 2, FALSE)</f>
        <v>0</v>
      </c>
      <c r="Q327" s="2"/>
    </row>
    <row r="328" spans="1:17">
      <c r="A328">
        <v>327</v>
      </c>
      <c r="B328" t="s">
        <v>339</v>
      </c>
      <c r="C328" s="2"/>
      <c r="D328">
        <f>C328 * VLOOKUP("adipura", inject!A:B, 2, FALSE)</f>
        <v>0</v>
      </c>
      <c r="E328" s="2"/>
      <c r="F328" s="2"/>
      <c r="G328">
        <f>F328 * VLOOKUP("adiwiyata", inject!A:B, 2, FALSE)</f>
        <v>0</v>
      </c>
      <c r="H328" s="2"/>
      <c r="I328" s="2"/>
      <c r="J328">
        <f>I328 * VLOOKUP("proklim", inject!A:B, 2, FALSE)</f>
        <v>0</v>
      </c>
      <c r="K328" s="2"/>
      <c r="L328" s="2"/>
      <c r="M328">
        <f>L328 * VLOOKUP("proper", inject!A:B, 2, FALSE)</f>
        <v>0</v>
      </c>
      <c r="N328" s="2"/>
      <c r="O328" s="2"/>
      <c r="P328">
        <f>O328 * VLOOKUP("kaltaparu", inject!A:B, 2, FALSE)</f>
        <v>0</v>
      </c>
      <c r="Q328" s="2"/>
    </row>
    <row r="329" spans="1:17">
      <c r="A329">
        <v>328</v>
      </c>
      <c r="B329" t="s">
        <v>340</v>
      </c>
      <c r="C329" s="2"/>
      <c r="D329">
        <f>C329 * VLOOKUP("adipura", inject!A:B, 2, FALSE)</f>
        <v>0</v>
      </c>
      <c r="E329" s="2"/>
      <c r="F329" s="2"/>
      <c r="G329">
        <f>F329 * VLOOKUP("adiwiyata", inject!A:B, 2, FALSE)</f>
        <v>0</v>
      </c>
      <c r="H329" s="2"/>
      <c r="I329" s="2"/>
      <c r="J329">
        <f>I329 * VLOOKUP("proklim", inject!A:B, 2, FALSE)</f>
        <v>0</v>
      </c>
      <c r="K329" s="2"/>
      <c r="L329" s="2"/>
      <c r="M329">
        <f>L329 * VLOOKUP("proper", inject!A:B, 2, FALSE)</f>
        <v>0</v>
      </c>
      <c r="N329" s="2"/>
      <c r="O329" s="2"/>
      <c r="P329">
        <f>O329 * VLOOKUP("kaltaparu", inject!A:B, 2, FALSE)</f>
        <v>0</v>
      </c>
      <c r="Q329" s="2"/>
    </row>
    <row r="330" spans="1:17">
      <c r="A330">
        <v>329</v>
      </c>
      <c r="B330" t="s">
        <v>341</v>
      </c>
      <c r="C330" s="2"/>
      <c r="D330">
        <f>C330 * VLOOKUP("adipura", inject!A:B, 2, FALSE)</f>
        <v>0</v>
      </c>
      <c r="E330" s="2"/>
      <c r="F330" s="2"/>
      <c r="G330">
        <f>F330 * VLOOKUP("adiwiyata", inject!A:B, 2, FALSE)</f>
        <v>0</v>
      </c>
      <c r="H330" s="2"/>
      <c r="I330" s="2"/>
      <c r="J330">
        <f>I330 * VLOOKUP("proklim", inject!A:B, 2, FALSE)</f>
        <v>0</v>
      </c>
      <c r="K330" s="2"/>
      <c r="L330" s="2"/>
      <c r="M330">
        <f>L330 * VLOOKUP("proper", inject!A:B, 2, FALSE)</f>
        <v>0</v>
      </c>
      <c r="N330" s="2"/>
      <c r="O330" s="2"/>
      <c r="P330">
        <f>O330 * VLOOKUP("kaltaparu", inject!A:B, 2, FALSE)</f>
        <v>0</v>
      </c>
      <c r="Q330" s="2"/>
    </row>
    <row r="331" spans="1:17">
      <c r="A331">
        <v>330</v>
      </c>
      <c r="B331" t="s">
        <v>342</v>
      </c>
      <c r="C331" s="2"/>
      <c r="D331">
        <f>C331 * VLOOKUP("adipura", inject!A:B, 2, FALSE)</f>
        <v>0</v>
      </c>
      <c r="E331" s="2"/>
      <c r="F331" s="2"/>
      <c r="G331">
        <f>F331 * VLOOKUP("adiwiyata", inject!A:B, 2, FALSE)</f>
        <v>0</v>
      </c>
      <c r="H331" s="2"/>
      <c r="I331" s="2"/>
      <c r="J331">
        <f>I331 * VLOOKUP("proklim", inject!A:B, 2, FALSE)</f>
        <v>0</v>
      </c>
      <c r="K331" s="2"/>
      <c r="L331" s="2"/>
      <c r="M331">
        <f>L331 * VLOOKUP("proper", inject!A:B, 2, FALSE)</f>
        <v>0</v>
      </c>
      <c r="N331" s="2"/>
      <c r="O331" s="2"/>
      <c r="P331">
        <f>O331 * VLOOKUP("kaltaparu", inject!A:B, 2, FALSE)</f>
        <v>0</v>
      </c>
      <c r="Q331" s="2"/>
    </row>
    <row r="332" spans="1:17">
      <c r="A332">
        <v>331</v>
      </c>
      <c r="B332" t="s">
        <v>343</v>
      </c>
      <c r="C332" s="2"/>
      <c r="D332">
        <f>C332 * VLOOKUP("adipura", inject!A:B, 2, FALSE)</f>
        <v>0</v>
      </c>
      <c r="E332" s="2"/>
      <c r="F332" s="2"/>
      <c r="G332">
        <f>F332 * VLOOKUP("adiwiyata", inject!A:B, 2, FALSE)</f>
        <v>0</v>
      </c>
      <c r="H332" s="2"/>
      <c r="I332" s="2"/>
      <c r="J332">
        <f>I332 * VLOOKUP("proklim", inject!A:B, 2, FALSE)</f>
        <v>0</v>
      </c>
      <c r="K332" s="2"/>
      <c r="L332" s="2"/>
      <c r="M332">
        <f>L332 * VLOOKUP("proper", inject!A:B, 2, FALSE)</f>
        <v>0</v>
      </c>
      <c r="N332" s="2"/>
      <c r="O332" s="2"/>
      <c r="P332">
        <f>O332 * VLOOKUP("kaltaparu", inject!A:B, 2, FALSE)</f>
        <v>0</v>
      </c>
      <c r="Q332" s="2"/>
    </row>
    <row r="333" spans="1:17">
      <c r="A333">
        <v>332</v>
      </c>
      <c r="B333" t="s">
        <v>344</v>
      </c>
      <c r="C333" s="2"/>
      <c r="D333">
        <f>C333 * VLOOKUP("adipura", inject!A:B, 2, FALSE)</f>
        <v>0</v>
      </c>
      <c r="E333" s="2"/>
      <c r="F333" s="2"/>
      <c r="G333">
        <f>F333 * VLOOKUP("adiwiyata", inject!A:B, 2, FALSE)</f>
        <v>0</v>
      </c>
      <c r="H333" s="2"/>
      <c r="I333" s="2"/>
      <c r="J333">
        <f>I333 * VLOOKUP("proklim", inject!A:B, 2, FALSE)</f>
        <v>0</v>
      </c>
      <c r="K333" s="2"/>
      <c r="L333" s="2"/>
      <c r="M333">
        <f>L333 * VLOOKUP("proper", inject!A:B, 2, FALSE)</f>
        <v>0</v>
      </c>
      <c r="N333" s="2"/>
      <c r="O333" s="2"/>
      <c r="P333">
        <f>O333 * VLOOKUP("kaltaparu", inject!A:B, 2, FALSE)</f>
        <v>0</v>
      </c>
      <c r="Q333" s="2"/>
    </row>
    <row r="334" spans="1:17">
      <c r="A334">
        <v>333</v>
      </c>
      <c r="B334" t="s">
        <v>345</v>
      </c>
      <c r="C334" s="2"/>
      <c r="D334">
        <f>C334 * VLOOKUP("adipura", inject!A:B, 2, FALSE)</f>
        <v>0</v>
      </c>
      <c r="E334" s="2"/>
      <c r="F334" s="2"/>
      <c r="G334">
        <f>F334 * VLOOKUP("adiwiyata", inject!A:B, 2, FALSE)</f>
        <v>0</v>
      </c>
      <c r="H334" s="2"/>
      <c r="I334" s="2"/>
      <c r="J334">
        <f>I334 * VLOOKUP("proklim", inject!A:B, 2, FALSE)</f>
        <v>0</v>
      </c>
      <c r="K334" s="2"/>
      <c r="L334" s="2"/>
      <c r="M334">
        <f>L334 * VLOOKUP("proper", inject!A:B, 2, FALSE)</f>
        <v>0</v>
      </c>
      <c r="N334" s="2"/>
      <c r="O334" s="2"/>
      <c r="P334">
        <f>O334 * VLOOKUP("kaltaparu", inject!A:B, 2, FALSE)</f>
        <v>0</v>
      </c>
      <c r="Q334" s="2"/>
    </row>
    <row r="335" spans="1:17">
      <c r="A335">
        <v>334</v>
      </c>
      <c r="B335" t="s">
        <v>346</v>
      </c>
      <c r="C335" s="2"/>
      <c r="D335">
        <f>C335 * VLOOKUP("adipura", inject!A:B, 2, FALSE)</f>
        <v>0</v>
      </c>
      <c r="E335" s="2"/>
      <c r="F335" s="2"/>
      <c r="G335">
        <f>F335 * VLOOKUP("adiwiyata", inject!A:B, 2, FALSE)</f>
        <v>0</v>
      </c>
      <c r="H335" s="2"/>
      <c r="I335" s="2"/>
      <c r="J335">
        <f>I335 * VLOOKUP("proklim", inject!A:B, 2, FALSE)</f>
        <v>0</v>
      </c>
      <c r="K335" s="2"/>
      <c r="L335" s="2"/>
      <c r="M335">
        <f>L335 * VLOOKUP("proper", inject!A:B, 2, FALSE)</f>
        <v>0</v>
      </c>
      <c r="N335" s="2"/>
      <c r="O335" s="2"/>
      <c r="P335">
        <f>O335 * VLOOKUP("kaltaparu", inject!A:B, 2, FALSE)</f>
        <v>0</v>
      </c>
      <c r="Q335" s="2"/>
    </row>
    <row r="336" spans="1:17">
      <c r="A336">
        <v>335</v>
      </c>
      <c r="B336" t="s">
        <v>347</v>
      </c>
      <c r="C336" s="2"/>
      <c r="D336">
        <f>C336 * VLOOKUP("adipura", inject!A:B, 2, FALSE)</f>
        <v>0</v>
      </c>
      <c r="E336" s="2"/>
      <c r="F336" s="2"/>
      <c r="G336">
        <f>F336 * VLOOKUP("adiwiyata", inject!A:B, 2, FALSE)</f>
        <v>0</v>
      </c>
      <c r="H336" s="2"/>
      <c r="I336" s="2"/>
      <c r="J336">
        <f>I336 * VLOOKUP("proklim", inject!A:B, 2, FALSE)</f>
        <v>0</v>
      </c>
      <c r="K336" s="2"/>
      <c r="L336" s="2"/>
      <c r="M336">
        <f>L336 * VLOOKUP("proper", inject!A:B, 2, FALSE)</f>
        <v>0</v>
      </c>
      <c r="N336" s="2"/>
      <c r="O336" s="2"/>
      <c r="P336">
        <f>O336 * VLOOKUP("kaltaparu", inject!A:B, 2, FALSE)</f>
        <v>0</v>
      </c>
      <c r="Q336" s="2"/>
    </row>
    <row r="337" spans="1:17">
      <c r="A337">
        <v>336</v>
      </c>
      <c r="B337" t="s">
        <v>348</v>
      </c>
      <c r="C337" s="2"/>
      <c r="D337">
        <f>C337 * VLOOKUP("adipura", inject!A:B, 2, FALSE)</f>
        <v>0</v>
      </c>
      <c r="E337" s="2"/>
      <c r="F337" s="2"/>
      <c r="G337">
        <f>F337 * VLOOKUP("adiwiyata", inject!A:B, 2, FALSE)</f>
        <v>0</v>
      </c>
      <c r="H337" s="2"/>
      <c r="I337" s="2"/>
      <c r="J337">
        <f>I337 * VLOOKUP("proklim", inject!A:B, 2, FALSE)</f>
        <v>0</v>
      </c>
      <c r="K337" s="2"/>
      <c r="L337" s="2"/>
      <c r="M337">
        <f>L337 * VLOOKUP("proper", inject!A:B, 2, FALSE)</f>
        <v>0</v>
      </c>
      <c r="N337" s="2"/>
      <c r="O337" s="2"/>
      <c r="P337">
        <f>O337 * VLOOKUP("kaltaparu", inject!A:B, 2, FALSE)</f>
        <v>0</v>
      </c>
      <c r="Q337" s="2"/>
    </row>
    <row r="338" spans="1:17">
      <c r="A338">
        <v>337</v>
      </c>
      <c r="B338" t="s">
        <v>349</v>
      </c>
      <c r="C338" s="2"/>
      <c r="D338">
        <f>C338 * VLOOKUP("adipura", inject!A:B, 2, FALSE)</f>
        <v>0</v>
      </c>
      <c r="E338" s="2"/>
      <c r="F338" s="2"/>
      <c r="G338">
        <f>F338 * VLOOKUP("adiwiyata", inject!A:B, 2, FALSE)</f>
        <v>0</v>
      </c>
      <c r="H338" s="2"/>
      <c r="I338" s="2"/>
      <c r="J338">
        <f>I338 * VLOOKUP("proklim", inject!A:B, 2, FALSE)</f>
        <v>0</v>
      </c>
      <c r="K338" s="2"/>
      <c r="L338" s="2"/>
      <c r="M338">
        <f>L338 * VLOOKUP("proper", inject!A:B, 2, FALSE)</f>
        <v>0</v>
      </c>
      <c r="N338" s="2"/>
      <c r="O338" s="2"/>
      <c r="P338">
        <f>O338 * VLOOKUP("kaltaparu", inject!A:B, 2, FALSE)</f>
        <v>0</v>
      </c>
      <c r="Q338" s="2"/>
    </row>
    <row r="339" spans="1:17">
      <c r="A339">
        <v>338</v>
      </c>
      <c r="B339" t="s">
        <v>350</v>
      </c>
      <c r="C339" s="2"/>
      <c r="D339">
        <f>C339 * VLOOKUP("adipura", inject!A:B, 2, FALSE)</f>
        <v>0</v>
      </c>
      <c r="E339" s="2"/>
      <c r="F339" s="2"/>
      <c r="G339">
        <f>F339 * VLOOKUP("adiwiyata", inject!A:B, 2, FALSE)</f>
        <v>0</v>
      </c>
      <c r="H339" s="2"/>
      <c r="I339" s="2"/>
      <c r="J339">
        <f>I339 * VLOOKUP("proklim", inject!A:B, 2, FALSE)</f>
        <v>0</v>
      </c>
      <c r="K339" s="2"/>
      <c r="L339" s="2"/>
      <c r="M339">
        <f>L339 * VLOOKUP("proper", inject!A:B, 2, FALSE)</f>
        <v>0</v>
      </c>
      <c r="N339" s="2"/>
      <c r="O339" s="2"/>
      <c r="P339">
        <f>O339 * VLOOKUP("kaltaparu", inject!A:B, 2, FALSE)</f>
        <v>0</v>
      </c>
      <c r="Q339" s="2"/>
    </row>
    <row r="340" spans="1:17">
      <c r="A340">
        <v>339</v>
      </c>
      <c r="B340" t="s">
        <v>351</v>
      </c>
      <c r="C340" s="2"/>
      <c r="D340">
        <f>C340 * VLOOKUP("adipura", inject!A:B, 2, FALSE)</f>
        <v>0</v>
      </c>
      <c r="E340" s="2"/>
      <c r="F340" s="2"/>
      <c r="G340">
        <f>F340 * VLOOKUP("adiwiyata", inject!A:B, 2, FALSE)</f>
        <v>0</v>
      </c>
      <c r="H340" s="2"/>
      <c r="I340" s="2"/>
      <c r="J340">
        <f>I340 * VLOOKUP("proklim", inject!A:B, 2, FALSE)</f>
        <v>0</v>
      </c>
      <c r="K340" s="2"/>
      <c r="L340" s="2"/>
      <c r="M340">
        <f>L340 * VLOOKUP("proper", inject!A:B, 2, FALSE)</f>
        <v>0</v>
      </c>
      <c r="N340" s="2"/>
      <c r="O340" s="2"/>
      <c r="P340">
        <f>O340 * VLOOKUP("kaltaparu", inject!A:B, 2, FALSE)</f>
        <v>0</v>
      </c>
      <c r="Q340" s="2"/>
    </row>
    <row r="341" spans="1:17">
      <c r="A341">
        <v>340</v>
      </c>
      <c r="B341" t="s">
        <v>352</v>
      </c>
      <c r="C341" s="2"/>
      <c r="D341">
        <f>C341 * VLOOKUP("adipura", inject!A:B, 2, FALSE)</f>
        <v>0</v>
      </c>
      <c r="E341" s="2"/>
      <c r="F341" s="2"/>
      <c r="G341">
        <f>F341 * VLOOKUP("adiwiyata", inject!A:B, 2, FALSE)</f>
        <v>0</v>
      </c>
      <c r="H341" s="2"/>
      <c r="I341" s="2"/>
      <c r="J341">
        <f>I341 * VLOOKUP("proklim", inject!A:B, 2, FALSE)</f>
        <v>0</v>
      </c>
      <c r="K341" s="2"/>
      <c r="L341" s="2"/>
      <c r="M341">
        <f>L341 * VLOOKUP("proper", inject!A:B, 2, FALSE)</f>
        <v>0</v>
      </c>
      <c r="N341" s="2"/>
      <c r="O341" s="2"/>
      <c r="P341">
        <f>O341 * VLOOKUP("kaltaparu", inject!A:B, 2, FALSE)</f>
        <v>0</v>
      </c>
      <c r="Q341" s="2"/>
    </row>
    <row r="342" spans="1:17">
      <c r="A342">
        <v>341</v>
      </c>
      <c r="B342" t="s">
        <v>353</v>
      </c>
      <c r="C342" s="2"/>
      <c r="D342">
        <f>C342 * VLOOKUP("adipura", inject!A:B, 2, FALSE)</f>
        <v>0</v>
      </c>
      <c r="E342" s="2"/>
      <c r="F342" s="2"/>
      <c r="G342">
        <f>F342 * VLOOKUP("adiwiyata", inject!A:B, 2, FALSE)</f>
        <v>0</v>
      </c>
      <c r="H342" s="2"/>
      <c r="I342" s="2"/>
      <c r="J342">
        <f>I342 * VLOOKUP("proklim", inject!A:B, 2, FALSE)</f>
        <v>0</v>
      </c>
      <c r="K342" s="2"/>
      <c r="L342" s="2"/>
      <c r="M342">
        <f>L342 * VLOOKUP("proper", inject!A:B, 2, FALSE)</f>
        <v>0</v>
      </c>
      <c r="N342" s="2"/>
      <c r="O342" s="2"/>
      <c r="P342">
        <f>O342 * VLOOKUP("kaltaparu", inject!A:B, 2, FALSE)</f>
        <v>0</v>
      </c>
      <c r="Q342" s="2"/>
    </row>
    <row r="343" spans="1:17">
      <c r="A343">
        <v>342</v>
      </c>
      <c r="B343" t="s">
        <v>354</v>
      </c>
      <c r="C343" s="2"/>
      <c r="D343">
        <f>C343 * VLOOKUP("adipura", inject!A:B, 2, FALSE)</f>
        <v>0</v>
      </c>
      <c r="E343" s="2"/>
      <c r="F343" s="2"/>
      <c r="G343">
        <f>F343 * VLOOKUP("adiwiyata", inject!A:B, 2, FALSE)</f>
        <v>0</v>
      </c>
      <c r="H343" s="2"/>
      <c r="I343" s="2"/>
      <c r="J343">
        <f>I343 * VLOOKUP("proklim", inject!A:B, 2, FALSE)</f>
        <v>0</v>
      </c>
      <c r="K343" s="2"/>
      <c r="L343" s="2"/>
      <c r="M343">
        <f>L343 * VLOOKUP("proper", inject!A:B, 2, FALSE)</f>
        <v>0</v>
      </c>
      <c r="N343" s="2"/>
      <c r="O343" s="2"/>
      <c r="P343">
        <f>O343 * VLOOKUP("kaltaparu", inject!A:B, 2, FALSE)</f>
        <v>0</v>
      </c>
      <c r="Q343" s="2"/>
    </row>
    <row r="344" spans="1:17">
      <c r="A344">
        <v>343</v>
      </c>
      <c r="B344" t="s">
        <v>355</v>
      </c>
      <c r="C344" s="2"/>
      <c r="D344">
        <f>C344 * VLOOKUP("adipura", inject!A:B, 2, FALSE)</f>
        <v>0</v>
      </c>
      <c r="E344" s="2"/>
      <c r="F344" s="2"/>
      <c r="G344">
        <f>F344 * VLOOKUP("adiwiyata", inject!A:B, 2, FALSE)</f>
        <v>0</v>
      </c>
      <c r="H344" s="2"/>
      <c r="I344" s="2"/>
      <c r="J344">
        <f>I344 * VLOOKUP("proklim", inject!A:B, 2, FALSE)</f>
        <v>0</v>
      </c>
      <c r="K344" s="2"/>
      <c r="L344" s="2"/>
      <c r="M344">
        <f>L344 * VLOOKUP("proper", inject!A:B, 2, FALSE)</f>
        <v>0</v>
      </c>
      <c r="N344" s="2"/>
      <c r="O344" s="2"/>
      <c r="P344">
        <f>O344 * VLOOKUP("kaltaparu", inject!A:B, 2, FALSE)</f>
        <v>0</v>
      </c>
      <c r="Q344" s="2"/>
    </row>
    <row r="345" spans="1:17">
      <c r="A345">
        <v>344</v>
      </c>
      <c r="B345" t="s">
        <v>356</v>
      </c>
      <c r="C345" s="2"/>
      <c r="D345">
        <f>C345 * VLOOKUP("adipura", inject!A:B, 2, FALSE)</f>
        <v>0</v>
      </c>
      <c r="E345" s="2"/>
      <c r="F345" s="2"/>
      <c r="G345">
        <f>F345 * VLOOKUP("adiwiyata", inject!A:B, 2, FALSE)</f>
        <v>0</v>
      </c>
      <c r="H345" s="2"/>
      <c r="I345" s="2"/>
      <c r="J345">
        <f>I345 * VLOOKUP("proklim", inject!A:B, 2, FALSE)</f>
        <v>0</v>
      </c>
      <c r="K345" s="2"/>
      <c r="L345" s="2"/>
      <c r="M345">
        <f>L345 * VLOOKUP("proper", inject!A:B, 2, FALSE)</f>
        <v>0</v>
      </c>
      <c r="N345" s="2"/>
      <c r="O345" s="2"/>
      <c r="P345">
        <f>O345 * VLOOKUP("kaltaparu", inject!A:B, 2, FALSE)</f>
        <v>0</v>
      </c>
      <c r="Q345" s="2"/>
    </row>
    <row r="346" spans="1:17">
      <c r="A346">
        <v>345</v>
      </c>
      <c r="B346" t="s">
        <v>357</v>
      </c>
      <c r="C346" s="2"/>
      <c r="D346">
        <f>C346 * VLOOKUP("adipura", inject!A:B, 2, FALSE)</f>
        <v>0</v>
      </c>
      <c r="E346" s="2"/>
      <c r="F346" s="2"/>
      <c r="G346">
        <f>F346 * VLOOKUP("adiwiyata", inject!A:B, 2, FALSE)</f>
        <v>0</v>
      </c>
      <c r="H346" s="2"/>
      <c r="I346" s="2"/>
      <c r="J346">
        <f>I346 * VLOOKUP("proklim", inject!A:B, 2, FALSE)</f>
        <v>0</v>
      </c>
      <c r="K346" s="2"/>
      <c r="L346" s="2"/>
      <c r="M346">
        <f>L346 * VLOOKUP("proper", inject!A:B, 2, FALSE)</f>
        <v>0</v>
      </c>
      <c r="N346" s="2"/>
      <c r="O346" s="2"/>
      <c r="P346">
        <f>O346 * VLOOKUP("kaltaparu", inject!A:B, 2, FALSE)</f>
        <v>0</v>
      </c>
      <c r="Q346" s="2"/>
    </row>
    <row r="347" spans="1:17">
      <c r="A347">
        <v>346</v>
      </c>
      <c r="B347" t="s">
        <v>358</v>
      </c>
      <c r="C347" s="2"/>
      <c r="D347">
        <f>C347 * VLOOKUP("adipura", inject!A:B, 2, FALSE)</f>
        <v>0</v>
      </c>
      <c r="E347" s="2"/>
      <c r="F347" s="2"/>
      <c r="G347">
        <f>F347 * VLOOKUP("adiwiyata", inject!A:B, 2, FALSE)</f>
        <v>0</v>
      </c>
      <c r="H347" s="2"/>
      <c r="I347" s="2"/>
      <c r="J347">
        <f>I347 * VLOOKUP("proklim", inject!A:B, 2, FALSE)</f>
        <v>0</v>
      </c>
      <c r="K347" s="2"/>
      <c r="L347" s="2"/>
      <c r="M347">
        <f>L347 * VLOOKUP("proper", inject!A:B, 2, FALSE)</f>
        <v>0</v>
      </c>
      <c r="N347" s="2"/>
      <c r="O347" s="2"/>
      <c r="P347">
        <f>O347 * VLOOKUP("kaltaparu", inject!A:B, 2, FALSE)</f>
        <v>0</v>
      </c>
      <c r="Q347" s="2"/>
    </row>
    <row r="348" spans="1:17">
      <c r="A348">
        <v>347</v>
      </c>
      <c r="B348" t="s">
        <v>359</v>
      </c>
      <c r="C348" s="2"/>
      <c r="D348">
        <f>C348 * VLOOKUP("adipura", inject!A:B, 2, FALSE)</f>
        <v>0</v>
      </c>
      <c r="E348" s="2"/>
      <c r="F348" s="2"/>
      <c r="G348">
        <f>F348 * VLOOKUP("adiwiyata", inject!A:B, 2, FALSE)</f>
        <v>0</v>
      </c>
      <c r="H348" s="2"/>
      <c r="I348" s="2"/>
      <c r="J348">
        <f>I348 * VLOOKUP("proklim", inject!A:B, 2, FALSE)</f>
        <v>0</v>
      </c>
      <c r="K348" s="2"/>
      <c r="L348" s="2"/>
      <c r="M348">
        <f>L348 * VLOOKUP("proper", inject!A:B, 2, FALSE)</f>
        <v>0</v>
      </c>
      <c r="N348" s="2"/>
      <c r="O348" s="2"/>
      <c r="P348">
        <f>O348 * VLOOKUP("kaltaparu", inject!A:B, 2, FALSE)</f>
        <v>0</v>
      </c>
      <c r="Q348" s="2"/>
    </row>
    <row r="349" spans="1:17">
      <c r="A349">
        <v>348</v>
      </c>
      <c r="B349" t="s">
        <v>360</v>
      </c>
      <c r="C349" s="2"/>
      <c r="D349">
        <f>C349 * VLOOKUP("adipura", inject!A:B, 2, FALSE)</f>
        <v>0</v>
      </c>
      <c r="E349" s="2"/>
      <c r="F349" s="2"/>
      <c r="G349">
        <f>F349 * VLOOKUP("adiwiyata", inject!A:B, 2, FALSE)</f>
        <v>0</v>
      </c>
      <c r="H349" s="2"/>
      <c r="I349" s="2"/>
      <c r="J349">
        <f>I349 * VLOOKUP("proklim", inject!A:B, 2, FALSE)</f>
        <v>0</v>
      </c>
      <c r="K349" s="2"/>
      <c r="L349" s="2"/>
      <c r="M349">
        <f>L349 * VLOOKUP("proper", inject!A:B, 2, FALSE)</f>
        <v>0</v>
      </c>
      <c r="N349" s="2"/>
      <c r="O349" s="2"/>
      <c r="P349">
        <f>O349 * VLOOKUP("kaltaparu", inject!A:B, 2, FALSE)</f>
        <v>0</v>
      </c>
      <c r="Q349" s="2"/>
    </row>
    <row r="350" spans="1:17">
      <c r="A350">
        <v>349</v>
      </c>
      <c r="B350" t="s">
        <v>361</v>
      </c>
      <c r="C350" s="2"/>
      <c r="D350">
        <f>C350 * VLOOKUP("adipura", inject!A:B, 2, FALSE)</f>
        <v>0</v>
      </c>
      <c r="E350" s="2"/>
      <c r="F350" s="2"/>
      <c r="G350">
        <f>F350 * VLOOKUP("adiwiyata", inject!A:B, 2, FALSE)</f>
        <v>0</v>
      </c>
      <c r="H350" s="2"/>
      <c r="I350" s="2"/>
      <c r="J350">
        <f>I350 * VLOOKUP("proklim", inject!A:B, 2, FALSE)</f>
        <v>0</v>
      </c>
      <c r="K350" s="2"/>
      <c r="L350" s="2"/>
      <c r="M350">
        <f>L350 * VLOOKUP("proper", inject!A:B, 2, FALSE)</f>
        <v>0</v>
      </c>
      <c r="N350" s="2"/>
      <c r="O350" s="2"/>
      <c r="P350">
        <f>O350 * VLOOKUP("kaltaparu", inject!A:B, 2, FALSE)</f>
        <v>0</v>
      </c>
      <c r="Q350" s="2"/>
    </row>
    <row r="351" spans="1:17">
      <c r="A351">
        <v>350</v>
      </c>
      <c r="B351" t="s">
        <v>362</v>
      </c>
      <c r="C351" s="2"/>
      <c r="D351">
        <f>C351 * VLOOKUP("adipura", inject!A:B, 2, FALSE)</f>
        <v>0</v>
      </c>
      <c r="E351" s="2"/>
      <c r="F351" s="2"/>
      <c r="G351">
        <f>F351 * VLOOKUP("adiwiyata", inject!A:B, 2, FALSE)</f>
        <v>0</v>
      </c>
      <c r="H351" s="2"/>
      <c r="I351" s="2"/>
      <c r="J351">
        <f>I351 * VLOOKUP("proklim", inject!A:B, 2, FALSE)</f>
        <v>0</v>
      </c>
      <c r="K351" s="2"/>
      <c r="L351" s="2"/>
      <c r="M351">
        <f>L351 * VLOOKUP("proper", inject!A:B, 2, FALSE)</f>
        <v>0</v>
      </c>
      <c r="N351" s="2"/>
      <c r="O351" s="2"/>
      <c r="P351">
        <f>O351 * VLOOKUP("kaltaparu", inject!A:B, 2, FALSE)</f>
        <v>0</v>
      </c>
      <c r="Q351" s="2"/>
    </row>
    <row r="352" spans="1:17">
      <c r="A352">
        <v>351</v>
      </c>
      <c r="B352" t="s">
        <v>363</v>
      </c>
      <c r="C352" s="2"/>
      <c r="D352">
        <f>C352 * VLOOKUP("adipura", inject!A:B, 2, FALSE)</f>
        <v>0</v>
      </c>
      <c r="E352" s="2"/>
      <c r="F352" s="2"/>
      <c r="G352">
        <f>F352 * VLOOKUP("adiwiyata", inject!A:B, 2, FALSE)</f>
        <v>0</v>
      </c>
      <c r="H352" s="2"/>
      <c r="I352" s="2"/>
      <c r="J352">
        <f>I352 * VLOOKUP("proklim", inject!A:B, 2, FALSE)</f>
        <v>0</v>
      </c>
      <c r="K352" s="2"/>
      <c r="L352" s="2"/>
      <c r="M352">
        <f>L352 * VLOOKUP("proper", inject!A:B, 2, FALSE)</f>
        <v>0</v>
      </c>
      <c r="N352" s="2"/>
      <c r="O352" s="2"/>
      <c r="P352">
        <f>O352 * VLOOKUP("kaltaparu", inject!A:B, 2, FALSE)</f>
        <v>0</v>
      </c>
      <c r="Q352" s="2"/>
    </row>
    <row r="353" spans="1:17">
      <c r="A353">
        <v>352</v>
      </c>
      <c r="B353" t="s">
        <v>364</v>
      </c>
      <c r="C353" s="2"/>
      <c r="D353">
        <f>C353 * VLOOKUP("adipura", inject!A:B, 2, FALSE)</f>
        <v>0</v>
      </c>
      <c r="E353" s="2"/>
      <c r="F353" s="2"/>
      <c r="G353">
        <f>F353 * VLOOKUP("adiwiyata", inject!A:B, 2, FALSE)</f>
        <v>0</v>
      </c>
      <c r="H353" s="2"/>
      <c r="I353" s="2"/>
      <c r="J353">
        <f>I353 * VLOOKUP("proklim", inject!A:B, 2, FALSE)</f>
        <v>0</v>
      </c>
      <c r="K353" s="2"/>
      <c r="L353" s="2"/>
      <c r="M353">
        <f>L353 * VLOOKUP("proper", inject!A:B, 2, FALSE)</f>
        <v>0</v>
      </c>
      <c r="N353" s="2"/>
      <c r="O353" s="2"/>
      <c r="P353">
        <f>O353 * VLOOKUP("kaltaparu", inject!A:B, 2, FALSE)</f>
        <v>0</v>
      </c>
      <c r="Q353" s="2"/>
    </row>
    <row r="354" spans="1:17">
      <c r="A354">
        <v>353</v>
      </c>
      <c r="B354" t="s">
        <v>365</v>
      </c>
      <c r="C354" s="2"/>
      <c r="D354">
        <f>C354 * VLOOKUP("adipura", inject!A:B, 2, FALSE)</f>
        <v>0</v>
      </c>
      <c r="E354" s="2"/>
      <c r="F354" s="2"/>
      <c r="G354">
        <f>F354 * VLOOKUP("adiwiyata", inject!A:B, 2, FALSE)</f>
        <v>0</v>
      </c>
      <c r="H354" s="2"/>
      <c r="I354" s="2"/>
      <c r="J354">
        <f>I354 * VLOOKUP("proklim", inject!A:B, 2, FALSE)</f>
        <v>0</v>
      </c>
      <c r="K354" s="2"/>
      <c r="L354" s="2"/>
      <c r="M354">
        <f>L354 * VLOOKUP("proper", inject!A:B, 2, FALSE)</f>
        <v>0</v>
      </c>
      <c r="N354" s="2"/>
      <c r="O354" s="2"/>
      <c r="P354">
        <f>O354 * VLOOKUP("kaltaparu", inject!A:B, 2, FALSE)</f>
        <v>0</v>
      </c>
      <c r="Q354" s="2"/>
    </row>
    <row r="355" spans="1:17">
      <c r="A355">
        <v>354</v>
      </c>
      <c r="B355" t="s">
        <v>366</v>
      </c>
      <c r="C355" s="2"/>
      <c r="D355">
        <f>C355 * VLOOKUP("adipura", inject!A:B, 2, FALSE)</f>
        <v>0</v>
      </c>
      <c r="E355" s="2"/>
      <c r="F355" s="2"/>
      <c r="G355">
        <f>F355 * VLOOKUP("adiwiyata", inject!A:B, 2, FALSE)</f>
        <v>0</v>
      </c>
      <c r="H355" s="2"/>
      <c r="I355" s="2"/>
      <c r="J355">
        <f>I355 * VLOOKUP("proklim", inject!A:B, 2, FALSE)</f>
        <v>0</v>
      </c>
      <c r="K355" s="2"/>
      <c r="L355" s="2"/>
      <c r="M355">
        <f>L355 * VLOOKUP("proper", inject!A:B, 2, FALSE)</f>
        <v>0</v>
      </c>
      <c r="N355" s="2"/>
      <c r="O355" s="2"/>
      <c r="P355">
        <f>O355 * VLOOKUP("kaltaparu", inject!A:B, 2, FALSE)</f>
        <v>0</v>
      </c>
      <c r="Q355" s="2"/>
    </row>
    <row r="356" spans="1:17">
      <c r="A356">
        <v>355</v>
      </c>
      <c r="B356" t="s">
        <v>367</v>
      </c>
      <c r="C356" s="2"/>
      <c r="D356">
        <f>C356 * VLOOKUP("adipura", inject!A:B, 2, FALSE)</f>
        <v>0</v>
      </c>
      <c r="E356" s="2"/>
      <c r="F356" s="2"/>
      <c r="G356">
        <f>F356 * VLOOKUP("adiwiyata", inject!A:B, 2, FALSE)</f>
        <v>0</v>
      </c>
      <c r="H356" s="2"/>
      <c r="I356" s="2"/>
      <c r="J356">
        <f>I356 * VLOOKUP("proklim", inject!A:B, 2, FALSE)</f>
        <v>0</v>
      </c>
      <c r="K356" s="2"/>
      <c r="L356" s="2"/>
      <c r="M356">
        <f>L356 * VLOOKUP("proper", inject!A:B, 2, FALSE)</f>
        <v>0</v>
      </c>
      <c r="N356" s="2"/>
      <c r="O356" s="2"/>
      <c r="P356">
        <f>O356 * VLOOKUP("kaltaparu", inject!A:B, 2, FALSE)</f>
        <v>0</v>
      </c>
      <c r="Q356" s="2"/>
    </row>
    <row r="357" spans="1:17">
      <c r="A357">
        <v>356</v>
      </c>
      <c r="B357" t="s">
        <v>368</v>
      </c>
      <c r="C357" s="2"/>
      <c r="D357">
        <f>C357 * VLOOKUP("adipura", inject!A:B, 2, FALSE)</f>
        <v>0</v>
      </c>
      <c r="E357" s="2"/>
      <c r="F357" s="2"/>
      <c r="G357">
        <f>F357 * VLOOKUP("adiwiyata", inject!A:B, 2, FALSE)</f>
        <v>0</v>
      </c>
      <c r="H357" s="2"/>
      <c r="I357" s="2"/>
      <c r="J357">
        <f>I357 * VLOOKUP("proklim", inject!A:B, 2, FALSE)</f>
        <v>0</v>
      </c>
      <c r="K357" s="2"/>
      <c r="L357" s="2"/>
      <c r="M357">
        <f>L357 * VLOOKUP("proper", inject!A:B, 2, FALSE)</f>
        <v>0</v>
      </c>
      <c r="N357" s="2"/>
      <c r="O357" s="2"/>
      <c r="P357">
        <f>O357 * VLOOKUP("kaltaparu", inject!A:B, 2, FALSE)</f>
        <v>0</v>
      </c>
      <c r="Q357" s="2"/>
    </row>
    <row r="358" spans="1:17">
      <c r="A358">
        <v>357</v>
      </c>
      <c r="B358" t="s">
        <v>369</v>
      </c>
      <c r="C358" s="2"/>
      <c r="D358">
        <f>C358 * VLOOKUP("adipura", inject!A:B, 2, FALSE)</f>
        <v>0</v>
      </c>
      <c r="E358" s="2"/>
      <c r="F358" s="2"/>
      <c r="G358">
        <f>F358 * VLOOKUP("adiwiyata", inject!A:B, 2, FALSE)</f>
        <v>0</v>
      </c>
      <c r="H358" s="2"/>
      <c r="I358" s="2"/>
      <c r="J358">
        <f>I358 * VLOOKUP("proklim", inject!A:B, 2, FALSE)</f>
        <v>0</v>
      </c>
      <c r="K358" s="2"/>
      <c r="L358" s="2"/>
      <c r="M358">
        <f>L358 * VLOOKUP("proper", inject!A:B, 2, FALSE)</f>
        <v>0</v>
      </c>
      <c r="N358" s="2"/>
      <c r="O358" s="2"/>
      <c r="P358">
        <f>O358 * VLOOKUP("kaltaparu", inject!A:B, 2, FALSE)</f>
        <v>0</v>
      </c>
      <c r="Q358" s="2"/>
    </row>
    <row r="359" spans="1:17">
      <c r="A359">
        <v>358</v>
      </c>
      <c r="B359" t="s">
        <v>370</v>
      </c>
      <c r="C359" s="2"/>
      <c r="D359">
        <f>C359 * VLOOKUP("adipura", inject!A:B, 2, FALSE)</f>
        <v>0</v>
      </c>
      <c r="E359" s="2"/>
      <c r="F359" s="2"/>
      <c r="G359">
        <f>F359 * VLOOKUP("adiwiyata", inject!A:B, 2, FALSE)</f>
        <v>0</v>
      </c>
      <c r="H359" s="2"/>
      <c r="I359" s="2"/>
      <c r="J359">
        <f>I359 * VLOOKUP("proklim", inject!A:B, 2, FALSE)</f>
        <v>0</v>
      </c>
      <c r="K359" s="2"/>
      <c r="L359" s="2"/>
      <c r="M359">
        <f>L359 * VLOOKUP("proper", inject!A:B, 2, FALSE)</f>
        <v>0</v>
      </c>
      <c r="N359" s="2"/>
      <c r="O359" s="2"/>
      <c r="P359">
        <f>O359 * VLOOKUP("kaltaparu", inject!A:B, 2, FALSE)</f>
        <v>0</v>
      </c>
      <c r="Q359" s="2"/>
    </row>
    <row r="360" spans="1:17">
      <c r="A360">
        <v>359</v>
      </c>
      <c r="B360" t="s">
        <v>371</v>
      </c>
      <c r="C360" s="2"/>
      <c r="D360">
        <f>C360 * VLOOKUP("adipura", inject!A:B, 2, FALSE)</f>
        <v>0</v>
      </c>
      <c r="E360" s="2"/>
      <c r="F360" s="2"/>
      <c r="G360">
        <f>F360 * VLOOKUP("adiwiyata", inject!A:B, 2, FALSE)</f>
        <v>0</v>
      </c>
      <c r="H360" s="2"/>
      <c r="I360" s="2"/>
      <c r="J360">
        <f>I360 * VLOOKUP("proklim", inject!A:B, 2, FALSE)</f>
        <v>0</v>
      </c>
      <c r="K360" s="2"/>
      <c r="L360" s="2"/>
      <c r="M360">
        <f>L360 * VLOOKUP("proper", inject!A:B, 2, FALSE)</f>
        <v>0</v>
      </c>
      <c r="N360" s="2"/>
      <c r="O360" s="2"/>
      <c r="P360">
        <f>O360 * VLOOKUP("kaltaparu", inject!A:B, 2, FALSE)</f>
        <v>0</v>
      </c>
      <c r="Q360" s="2"/>
    </row>
    <row r="361" spans="1:17">
      <c r="A361">
        <v>360</v>
      </c>
      <c r="B361" t="s">
        <v>372</v>
      </c>
      <c r="C361" s="2"/>
      <c r="D361">
        <f>C361 * VLOOKUP("adipura", inject!A:B, 2, FALSE)</f>
        <v>0</v>
      </c>
      <c r="E361" s="2"/>
      <c r="F361" s="2"/>
      <c r="G361">
        <f>F361 * VLOOKUP("adiwiyata", inject!A:B, 2, FALSE)</f>
        <v>0</v>
      </c>
      <c r="H361" s="2"/>
      <c r="I361" s="2"/>
      <c r="J361">
        <f>I361 * VLOOKUP("proklim", inject!A:B, 2, FALSE)</f>
        <v>0</v>
      </c>
      <c r="K361" s="2"/>
      <c r="L361" s="2"/>
      <c r="M361">
        <f>L361 * VLOOKUP("proper", inject!A:B, 2, FALSE)</f>
        <v>0</v>
      </c>
      <c r="N361" s="2"/>
      <c r="O361" s="2"/>
      <c r="P361">
        <f>O361 * VLOOKUP("kaltaparu", inject!A:B, 2, FALSE)</f>
        <v>0</v>
      </c>
      <c r="Q361" s="2"/>
    </row>
    <row r="362" spans="1:17">
      <c r="A362">
        <v>361</v>
      </c>
      <c r="B362" t="s">
        <v>373</v>
      </c>
      <c r="C362" s="2"/>
      <c r="D362">
        <f>C362 * VLOOKUP("adipura", inject!A:B, 2, FALSE)</f>
        <v>0</v>
      </c>
      <c r="E362" s="2"/>
      <c r="F362" s="2"/>
      <c r="G362">
        <f>F362 * VLOOKUP("adiwiyata", inject!A:B, 2, FALSE)</f>
        <v>0</v>
      </c>
      <c r="H362" s="2"/>
      <c r="I362" s="2"/>
      <c r="J362">
        <f>I362 * VLOOKUP("proklim", inject!A:B, 2, FALSE)</f>
        <v>0</v>
      </c>
      <c r="K362" s="2"/>
      <c r="L362" s="2"/>
      <c r="M362">
        <f>L362 * VLOOKUP("proper", inject!A:B, 2, FALSE)</f>
        <v>0</v>
      </c>
      <c r="N362" s="2"/>
      <c r="O362" s="2"/>
      <c r="P362">
        <f>O362 * VLOOKUP("kaltaparu", inject!A:B, 2, FALSE)</f>
        <v>0</v>
      </c>
      <c r="Q362" s="2"/>
    </row>
    <row r="363" spans="1:17">
      <c r="A363">
        <v>362</v>
      </c>
      <c r="B363" t="s">
        <v>374</v>
      </c>
      <c r="C363" s="2"/>
      <c r="D363">
        <f>C363 * VLOOKUP("adipura", inject!A:B, 2, FALSE)</f>
        <v>0</v>
      </c>
      <c r="E363" s="2"/>
      <c r="F363" s="2"/>
      <c r="G363">
        <f>F363 * VLOOKUP("adiwiyata", inject!A:B, 2, FALSE)</f>
        <v>0</v>
      </c>
      <c r="H363" s="2"/>
      <c r="I363" s="2"/>
      <c r="J363">
        <f>I363 * VLOOKUP("proklim", inject!A:B, 2, FALSE)</f>
        <v>0</v>
      </c>
      <c r="K363" s="2"/>
      <c r="L363" s="2"/>
      <c r="M363">
        <f>L363 * VLOOKUP("proper", inject!A:B, 2, FALSE)</f>
        <v>0</v>
      </c>
      <c r="N363" s="2"/>
      <c r="O363" s="2"/>
      <c r="P363">
        <f>O363 * VLOOKUP("kaltaparu", inject!A:B, 2, FALSE)</f>
        <v>0</v>
      </c>
      <c r="Q363" s="2"/>
    </row>
    <row r="364" spans="1:17">
      <c r="A364">
        <v>363</v>
      </c>
      <c r="B364" t="s">
        <v>375</v>
      </c>
      <c r="C364" s="2"/>
      <c r="D364">
        <f>C364 * VLOOKUP("adipura", inject!A:B, 2, FALSE)</f>
        <v>0</v>
      </c>
      <c r="E364" s="2"/>
      <c r="F364" s="2"/>
      <c r="G364">
        <f>F364 * VLOOKUP("adiwiyata", inject!A:B, 2, FALSE)</f>
        <v>0</v>
      </c>
      <c r="H364" s="2"/>
      <c r="I364" s="2"/>
      <c r="J364">
        <f>I364 * VLOOKUP("proklim", inject!A:B, 2, FALSE)</f>
        <v>0</v>
      </c>
      <c r="K364" s="2"/>
      <c r="L364" s="2"/>
      <c r="M364">
        <f>L364 * VLOOKUP("proper", inject!A:B, 2, FALSE)</f>
        <v>0</v>
      </c>
      <c r="N364" s="2"/>
      <c r="O364" s="2"/>
      <c r="P364">
        <f>O364 * VLOOKUP("kaltaparu", inject!A:B, 2, FALSE)</f>
        <v>0</v>
      </c>
      <c r="Q364" s="2"/>
    </row>
    <row r="365" spans="1:17">
      <c r="A365">
        <v>364</v>
      </c>
      <c r="B365" t="s">
        <v>376</v>
      </c>
      <c r="C365" s="2"/>
      <c r="D365">
        <f>C365 * VLOOKUP("adipura", inject!A:B, 2, FALSE)</f>
        <v>0</v>
      </c>
      <c r="E365" s="2"/>
      <c r="F365" s="2"/>
      <c r="G365">
        <f>F365 * VLOOKUP("adiwiyata", inject!A:B, 2, FALSE)</f>
        <v>0</v>
      </c>
      <c r="H365" s="2"/>
      <c r="I365" s="2"/>
      <c r="J365">
        <f>I365 * VLOOKUP("proklim", inject!A:B, 2, FALSE)</f>
        <v>0</v>
      </c>
      <c r="K365" s="2"/>
      <c r="L365" s="2"/>
      <c r="M365">
        <f>L365 * VLOOKUP("proper", inject!A:B, 2, FALSE)</f>
        <v>0</v>
      </c>
      <c r="N365" s="2"/>
      <c r="O365" s="2"/>
      <c r="P365">
        <f>O365 * VLOOKUP("kaltaparu", inject!A:B, 2, FALSE)</f>
        <v>0</v>
      </c>
      <c r="Q365" s="2"/>
    </row>
    <row r="366" spans="1:17">
      <c r="A366">
        <v>365</v>
      </c>
      <c r="B366" t="s">
        <v>377</v>
      </c>
      <c r="C366" s="2"/>
      <c r="D366">
        <f>C366 * VLOOKUP("adipura", inject!A:B, 2, FALSE)</f>
        <v>0</v>
      </c>
      <c r="E366" s="2"/>
      <c r="F366" s="2"/>
      <c r="G366">
        <f>F366 * VLOOKUP("adiwiyata", inject!A:B, 2, FALSE)</f>
        <v>0</v>
      </c>
      <c r="H366" s="2"/>
      <c r="I366" s="2"/>
      <c r="J366">
        <f>I366 * VLOOKUP("proklim", inject!A:B, 2, FALSE)</f>
        <v>0</v>
      </c>
      <c r="K366" s="2"/>
      <c r="L366" s="2"/>
      <c r="M366">
        <f>L366 * VLOOKUP("proper", inject!A:B, 2, FALSE)</f>
        <v>0</v>
      </c>
      <c r="N366" s="2"/>
      <c r="O366" s="2"/>
      <c r="P366">
        <f>O366 * VLOOKUP("kaltaparu", inject!A:B, 2, FALSE)</f>
        <v>0</v>
      </c>
      <c r="Q366" s="2"/>
    </row>
    <row r="367" spans="1:17">
      <c r="A367">
        <v>366</v>
      </c>
      <c r="B367" t="s">
        <v>378</v>
      </c>
      <c r="C367" s="2"/>
      <c r="D367">
        <f>C367 * VLOOKUP("adipura", inject!A:B, 2, FALSE)</f>
        <v>0</v>
      </c>
      <c r="E367" s="2"/>
      <c r="F367" s="2"/>
      <c r="G367">
        <f>F367 * VLOOKUP("adiwiyata", inject!A:B, 2, FALSE)</f>
        <v>0</v>
      </c>
      <c r="H367" s="2"/>
      <c r="I367" s="2"/>
      <c r="J367">
        <f>I367 * VLOOKUP("proklim", inject!A:B, 2, FALSE)</f>
        <v>0</v>
      </c>
      <c r="K367" s="2"/>
      <c r="L367" s="2"/>
      <c r="M367">
        <f>L367 * VLOOKUP("proper", inject!A:B, 2, FALSE)</f>
        <v>0</v>
      </c>
      <c r="N367" s="2"/>
      <c r="O367" s="2"/>
      <c r="P367">
        <f>O367 * VLOOKUP("kaltaparu", inject!A:B, 2, FALSE)</f>
        <v>0</v>
      </c>
      <c r="Q367" s="2"/>
    </row>
    <row r="368" spans="1:17">
      <c r="A368">
        <v>367</v>
      </c>
      <c r="B368" t="s">
        <v>379</v>
      </c>
      <c r="C368" s="2"/>
      <c r="D368">
        <f>C368 * VLOOKUP("adipura", inject!A:B, 2, FALSE)</f>
        <v>0</v>
      </c>
      <c r="E368" s="2"/>
      <c r="F368" s="2"/>
      <c r="G368">
        <f>F368 * VLOOKUP("adiwiyata", inject!A:B, 2, FALSE)</f>
        <v>0</v>
      </c>
      <c r="H368" s="2"/>
      <c r="I368" s="2"/>
      <c r="J368">
        <f>I368 * VLOOKUP("proklim", inject!A:B, 2, FALSE)</f>
        <v>0</v>
      </c>
      <c r="K368" s="2"/>
      <c r="L368" s="2"/>
      <c r="M368">
        <f>L368 * VLOOKUP("proper", inject!A:B, 2, FALSE)</f>
        <v>0</v>
      </c>
      <c r="N368" s="2"/>
      <c r="O368" s="2"/>
      <c r="P368">
        <f>O368 * VLOOKUP("kaltaparu", inject!A:B, 2, FALSE)</f>
        <v>0</v>
      </c>
      <c r="Q368" s="2"/>
    </row>
    <row r="369" spans="1:17">
      <c r="A369">
        <v>368</v>
      </c>
      <c r="B369" t="s">
        <v>380</v>
      </c>
      <c r="C369" s="2"/>
      <c r="D369">
        <f>C369 * VLOOKUP("adipura", inject!A:B, 2, FALSE)</f>
        <v>0</v>
      </c>
      <c r="E369" s="2"/>
      <c r="F369" s="2"/>
      <c r="G369">
        <f>F369 * VLOOKUP("adiwiyata", inject!A:B, 2, FALSE)</f>
        <v>0</v>
      </c>
      <c r="H369" s="2"/>
      <c r="I369" s="2"/>
      <c r="J369">
        <f>I369 * VLOOKUP("proklim", inject!A:B, 2, FALSE)</f>
        <v>0</v>
      </c>
      <c r="K369" s="2"/>
      <c r="L369" s="2"/>
      <c r="M369">
        <f>L369 * VLOOKUP("proper", inject!A:B, 2, FALSE)</f>
        <v>0</v>
      </c>
      <c r="N369" s="2"/>
      <c r="O369" s="2"/>
      <c r="P369">
        <f>O369 * VLOOKUP("kaltaparu", inject!A:B, 2, FALSE)</f>
        <v>0</v>
      </c>
      <c r="Q369" s="2"/>
    </row>
    <row r="370" spans="1:17">
      <c r="A370">
        <v>369</v>
      </c>
      <c r="B370" t="s">
        <v>381</v>
      </c>
      <c r="C370" s="2"/>
      <c r="D370">
        <f>C370 * VLOOKUP("adipura", inject!A:B, 2, FALSE)</f>
        <v>0</v>
      </c>
      <c r="E370" s="2"/>
      <c r="F370" s="2"/>
      <c r="G370">
        <f>F370 * VLOOKUP("adiwiyata", inject!A:B, 2, FALSE)</f>
        <v>0</v>
      </c>
      <c r="H370" s="2"/>
      <c r="I370" s="2"/>
      <c r="J370">
        <f>I370 * VLOOKUP("proklim", inject!A:B, 2, FALSE)</f>
        <v>0</v>
      </c>
      <c r="K370" s="2"/>
      <c r="L370" s="2"/>
      <c r="M370">
        <f>L370 * VLOOKUP("proper", inject!A:B, 2, FALSE)</f>
        <v>0</v>
      </c>
      <c r="N370" s="2"/>
      <c r="O370" s="2"/>
      <c r="P370">
        <f>O370 * VLOOKUP("kaltaparu", inject!A:B, 2, FALSE)</f>
        <v>0</v>
      </c>
      <c r="Q370" s="2"/>
    </row>
    <row r="371" spans="1:17">
      <c r="A371">
        <v>370</v>
      </c>
      <c r="B371" t="s">
        <v>382</v>
      </c>
      <c r="C371" s="2"/>
      <c r="D371">
        <f>C371 * VLOOKUP("adipura", inject!A:B, 2, FALSE)</f>
        <v>0</v>
      </c>
      <c r="E371" s="2"/>
      <c r="F371" s="2"/>
      <c r="G371">
        <f>F371 * VLOOKUP("adiwiyata", inject!A:B, 2, FALSE)</f>
        <v>0</v>
      </c>
      <c r="H371" s="2"/>
      <c r="I371" s="2"/>
      <c r="J371">
        <f>I371 * VLOOKUP("proklim", inject!A:B, 2, FALSE)</f>
        <v>0</v>
      </c>
      <c r="K371" s="2"/>
      <c r="L371" s="2"/>
      <c r="M371">
        <f>L371 * VLOOKUP("proper", inject!A:B, 2, FALSE)</f>
        <v>0</v>
      </c>
      <c r="N371" s="2"/>
      <c r="O371" s="2"/>
      <c r="P371">
        <f>O371 * VLOOKUP("kaltaparu", inject!A:B, 2, FALSE)</f>
        <v>0</v>
      </c>
      <c r="Q371" s="2"/>
    </row>
    <row r="372" spans="1:17">
      <c r="A372">
        <v>371</v>
      </c>
      <c r="B372" t="s">
        <v>383</v>
      </c>
      <c r="C372" s="2"/>
      <c r="D372">
        <f>C372 * VLOOKUP("adipura", inject!A:B, 2, FALSE)</f>
        <v>0</v>
      </c>
      <c r="E372" s="2"/>
      <c r="F372" s="2"/>
      <c r="G372">
        <f>F372 * VLOOKUP("adiwiyata", inject!A:B, 2, FALSE)</f>
        <v>0</v>
      </c>
      <c r="H372" s="2"/>
      <c r="I372" s="2"/>
      <c r="J372">
        <f>I372 * VLOOKUP("proklim", inject!A:B, 2, FALSE)</f>
        <v>0</v>
      </c>
      <c r="K372" s="2"/>
      <c r="L372" s="2"/>
      <c r="M372">
        <f>L372 * VLOOKUP("proper", inject!A:B, 2, FALSE)</f>
        <v>0</v>
      </c>
      <c r="N372" s="2"/>
      <c r="O372" s="2"/>
      <c r="P372">
        <f>O372 * VLOOKUP("kaltaparu", inject!A:B, 2, FALSE)</f>
        <v>0</v>
      </c>
      <c r="Q372" s="2"/>
    </row>
    <row r="373" spans="1:17">
      <c r="A373">
        <v>372</v>
      </c>
      <c r="B373" t="s">
        <v>384</v>
      </c>
      <c r="C373" s="2"/>
      <c r="D373">
        <f>C373 * VLOOKUP("adipura", inject!A:B, 2, FALSE)</f>
        <v>0</v>
      </c>
      <c r="E373" s="2"/>
      <c r="F373" s="2"/>
      <c r="G373">
        <f>F373 * VLOOKUP("adiwiyata", inject!A:B, 2, FALSE)</f>
        <v>0</v>
      </c>
      <c r="H373" s="2"/>
      <c r="I373" s="2"/>
      <c r="J373">
        <f>I373 * VLOOKUP("proklim", inject!A:B, 2, FALSE)</f>
        <v>0</v>
      </c>
      <c r="K373" s="2"/>
      <c r="L373" s="2"/>
      <c r="M373">
        <f>L373 * VLOOKUP("proper", inject!A:B, 2, FALSE)</f>
        <v>0</v>
      </c>
      <c r="N373" s="2"/>
      <c r="O373" s="2"/>
      <c r="P373">
        <f>O373 * VLOOKUP("kaltaparu", inject!A:B, 2, FALSE)</f>
        <v>0</v>
      </c>
      <c r="Q373" s="2"/>
    </row>
    <row r="374" spans="1:17">
      <c r="A374">
        <v>373</v>
      </c>
      <c r="B374" t="s">
        <v>385</v>
      </c>
      <c r="C374" s="2"/>
      <c r="D374">
        <f>C374 * VLOOKUP("adipura", inject!A:B, 2, FALSE)</f>
        <v>0</v>
      </c>
      <c r="E374" s="2"/>
      <c r="F374" s="2"/>
      <c r="G374">
        <f>F374 * VLOOKUP("adiwiyata", inject!A:B, 2, FALSE)</f>
        <v>0</v>
      </c>
      <c r="H374" s="2"/>
      <c r="I374" s="2"/>
      <c r="J374">
        <f>I374 * VLOOKUP("proklim", inject!A:B, 2, FALSE)</f>
        <v>0</v>
      </c>
      <c r="K374" s="2"/>
      <c r="L374" s="2"/>
      <c r="M374">
        <f>L374 * VLOOKUP("proper", inject!A:B, 2, FALSE)</f>
        <v>0</v>
      </c>
      <c r="N374" s="2"/>
      <c r="O374" s="2"/>
      <c r="P374">
        <f>O374 * VLOOKUP("kaltaparu", inject!A:B, 2, FALSE)</f>
        <v>0</v>
      </c>
      <c r="Q374" s="2"/>
    </row>
    <row r="375" spans="1:17">
      <c r="A375">
        <v>374</v>
      </c>
      <c r="B375" t="s">
        <v>386</v>
      </c>
      <c r="C375" s="2"/>
      <c r="D375">
        <f>C375 * VLOOKUP("adipura", inject!A:B, 2, FALSE)</f>
        <v>0</v>
      </c>
      <c r="E375" s="2"/>
      <c r="F375" s="2"/>
      <c r="G375">
        <f>F375 * VLOOKUP("adiwiyata", inject!A:B, 2, FALSE)</f>
        <v>0</v>
      </c>
      <c r="H375" s="2"/>
      <c r="I375" s="2"/>
      <c r="J375">
        <f>I375 * VLOOKUP("proklim", inject!A:B, 2, FALSE)</f>
        <v>0</v>
      </c>
      <c r="K375" s="2"/>
      <c r="L375" s="2"/>
      <c r="M375">
        <f>L375 * VLOOKUP("proper", inject!A:B, 2, FALSE)</f>
        <v>0</v>
      </c>
      <c r="N375" s="2"/>
      <c r="O375" s="2"/>
      <c r="P375">
        <f>O375 * VLOOKUP("kaltaparu", inject!A:B, 2, FALSE)</f>
        <v>0</v>
      </c>
      <c r="Q375" s="2"/>
    </row>
    <row r="376" spans="1:17">
      <c r="A376">
        <v>375</v>
      </c>
      <c r="B376" t="s">
        <v>387</v>
      </c>
      <c r="C376" s="2"/>
      <c r="D376">
        <f>C376 * VLOOKUP("adipura", inject!A:B, 2, FALSE)</f>
        <v>0</v>
      </c>
      <c r="E376" s="2"/>
      <c r="F376" s="2"/>
      <c r="G376">
        <f>F376 * VLOOKUP("adiwiyata", inject!A:B, 2, FALSE)</f>
        <v>0</v>
      </c>
      <c r="H376" s="2"/>
      <c r="I376" s="2"/>
      <c r="J376">
        <f>I376 * VLOOKUP("proklim", inject!A:B, 2, FALSE)</f>
        <v>0</v>
      </c>
      <c r="K376" s="2"/>
      <c r="L376" s="2"/>
      <c r="M376">
        <f>L376 * VLOOKUP("proper", inject!A:B, 2, FALSE)</f>
        <v>0</v>
      </c>
      <c r="N376" s="2"/>
      <c r="O376" s="2"/>
      <c r="P376">
        <f>O376 * VLOOKUP("kaltaparu", inject!A:B, 2, FALSE)</f>
        <v>0</v>
      </c>
      <c r="Q376" s="2"/>
    </row>
    <row r="377" spans="1:17">
      <c r="A377">
        <v>376</v>
      </c>
      <c r="B377" t="s">
        <v>388</v>
      </c>
      <c r="C377" s="2"/>
      <c r="D377">
        <f>C377 * VLOOKUP("adipura", inject!A:B, 2, FALSE)</f>
        <v>0</v>
      </c>
      <c r="E377" s="2"/>
      <c r="F377" s="2"/>
      <c r="G377">
        <f>F377 * VLOOKUP("adiwiyata", inject!A:B, 2, FALSE)</f>
        <v>0</v>
      </c>
      <c r="H377" s="2"/>
      <c r="I377" s="2"/>
      <c r="J377">
        <f>I377 * VLOOKUP("proklim", inject!A:B, 2, FALSE)</f>
        <v>0</v>
      </c>
      <c r="K377" s="2"/>
      <c r="L377" s="2"/>
      <c r="M377">
        <f>L377 * VLOOKUP("proper", inject!A:B, 2, FALSE)</f>
        <v>0</v>
      </c>
      <c r="N377" s="2"/>
      <c r="O377" s="2"/>
      <c r="P377">
        <f>O377 * VLOOKUP("kaltaparu", inject!A:B, 2, FALSE)</f>
        <v>0</v>
      </c>
      <c r="Q377" s="2"/>
    </row>
    <row r="378" spans="1:17">
      <c r="A378">
        <v>377</v>
      </c>
      <c r="B378" t="s">
        <v>389</v>
      </c>
      <c r="C378" s="2"/>
      <c r="D378">
        <f>C378 * VLOOKUP("adipura", inject!A:B, 2, FALSE)</f>
        <v>0</v>
      </c>
      <c r="E378" s="2"/>
      <c r="F378" s="2"/>
      <c r="G378">
        <f>F378 * VLOOKUP("adiwiyata", inject!A:B, 2, FALSE)</f>
        <v>0</v>
      </c>
      <c r="H378" s="2"/>
      <c r="I378" s="2"/>
      <c r="J378">
        <f>I378 * VLOOKUP("proklim", inject!A:B, 2, FALSE)</f>
        <v>0</v>
      </c>
      <c r="K378" s="2"/>
      <c r="L378" s="2"/>
      <c r="M378">
        <f>L378 * VLOOKUP("proper", inject!A:B, 2, FALSE)</f>
        <v>0</v>
      </c>
      <c r="N378" s="2"/>
      <c r="O378" s="2"/>
      <c r="P378">
        <f>O378 * VLOOKUP("kaltaparu", inject!A:B, 2, FALSE)</f>
        <v>0</v>
      </c>
      <c r="Q378" s="2"/>
    </row>
    <row r="379" spans="1:17">
      <c r="A379">
        <v>378</v>
      </c>
      <c r="B379" t="s">
        <v>390</v>
      </c>
      <c r="C379" s="2"/>
      <c r="D379">
        <f>C379 * VLOOKUP("adipura", inject!A:B, 2, FALSE)</f>
        <v>0</v>
      </c>
      <c r="E379" s="2"/>
      <c r="F379" s="2"/>
      <c r="G379">
        <f>F379 * VLOOKUP("adiwiyata", inject!A:B, 2, FALSE)</f>
        <v>0</v>
      </c>
      <c r="H379" s="2"/>
      <c r="I379" s="2"/>
      <c r="J379">
        <f>I379 * VLOOKUP("proklim", inject!A:B, 2, FALSE)</f>
        <v>0</v>
      </c>
      <c r="K379" s="2"/>
      <c r="L379" s="2"/>
      <c r="M379">
        <f>L379 * VLOOKUP("proper", inject!A:B, 2, FALSE)</f>
        <v>0</v>
      </c>
      <c r="N379" s="2"/>
      <c r="O379" s="2"/>
      <c r="P379">
        <f>O379 * VLOOKUP("kaltaparu", inject!A:B, 2, FALSE)</f>
        <v>0</v>
      </c>
      <c r="Q379" s="2"/>
    </row>
    <row r="380" spans="1:17">
      <c r="A380">
        <v>379</v>
      </c>
      <c r="B380" t="s">
        <v>391</v>
      </c>
      <c r="C380" s="2"/>
      <c r="D380">
        <f>C380 * VLOOKUP("adipura", inject!A:B, 2, FALSE)</f>
        <v>0</v>
      </c>
      <c r="E380" s="2"/>
      <c r="F380" s="2"/>
      <c r="G380">
        <f>F380 * VLOOKUP("adiwiyata", inject!A:B, 2, FALSE)</f>
        <v>0</v>
      </c>
      <c r="H380" s="2"/>
      <c r="I380" s="2"/>
      <c r="J380">
        <f>I380 * VLOOKUP("proklim", inject!A:B, 2, FALSE)</f>
        <v>0</v>
      </c>
      <c r="K380" s="2"/>
      <c r="L380" s="2"/>
      <c r="M380">
        <f>L380 * VLOOKUP("proper", inject!A:B, 2, FALSE)</f>
        <v>0</v>
      </c>
      <c r="N380" s="2"/>
      <c r="O380" s="2"/>
      <c r="P380">
        <f>O380 * VLOOKUP("kaltaparu", inject!A:B, 2, FALSE)</f>
        <v>0</v>
      </c>
      <c r="Q380" s="2"/>
    </row>
    <row r="381" spans="1:17">
      <c r="A381">
        <v>380</v>
      </c>
      <c r="B381" t="s">
        <v>392</v>
      </c>
      <c r="C381" s="2"/>
      <c r="D381">
        <f>C381 * VLOOKUP("adipura", inject!A:B, 2, FALSE)</f>
        <v>0</v>
      </c>
      <c r="E381" s="2"/>
      <c r="F381" s="2"/>
      <c r="G381">
        <f>F381 * VLOOKUP("adiwiyata", inject!A:B, 2, FALSE)</f>
        <v>0</v>
      </c>
      <c r="H381" s="2"/>
      <c r="I381" s="2"/>
      <c r="J381">
        <f>I381 * VLOOKUP("proklim", inject!A:B, 2, FALSE)</f>
        <v>0</v>
      </c>
      <c r="K381" s="2"/>
      <c r="L381" s="2"/>
      <c r="M381">
        <f>L381 * VLOOKUP("proper", inject!A:B, 2, FALSE)</f>
        <v>0</v>
      </c>
      <c r="N381" s="2"/>
      <c r="O381" s="2"/>
      <c r="P381">
        <f>O381 * VLOOKUP("kaltaparu", inject!A:B, 2, FALSE)</f>
        <v>0</v>
      </c>
      <c r="Q381" s="2"/>
    </row>
    <row r="382" spans="1:17">
      <c r="A382">
        <v>381</v>
      </c>
      <c r="B382" t="s">
        <v>393</v>
      </c>
      <c r="C382" s="2"/>
      <c r="D382">
        <f>C382 * VLOOKUP("adipura", inject!A:B, 2, FALSE)</f>
        <v>0</v>
      </c>
      <c r="E382" s="2"/>
      <c r="F382" s="2"/>
      <c r="G382">
        <f>F382 * VLOOKUP("adiwiyata", inject!A:B, 2, FALSE)</f>
        <v>0</v>
      </c>
      <c r="H382" s="2"/>
      <c r="I382" s="2"/>
      <c r="J382">
        <f>I382 * VLOOKUP("proklim", inject!A:B, 2, FALSE)</f>
        <v>0</v>
      </c>
      <c r="K382" s="2"/>
      <c r="L382" s="2"/>
      <c r="M382">
        <f>L382 * VLOOKUP("proper", inject!A:B, 2, FALSE)</f>
        <v>0</v>
      </c>
      <c r="N382" s="2"/>
      <c r="O382" s="2"/>
      <c r="P382">
        <f>O382 * VLOOKUP("kaltaparu", inject!A:B, 2, FALSE)</f>
        <v>0</v>
      </c>
      <c r="Q382" s="2"/>
    </row>
    <row r="383" spans="1:17">
      <c r="A383">
        <v>382</v>
      </c>
      <c r="B383" t="s">
        <v>394</v>
      </c>
      <c r="C383" s="2"/>
      <c r="D383">
        <f>C383 * VLOOKUP("adipura", inject!A:B, 2, FALSE)</f>
        <v>0</v>
      </c>
      <c r="E383" s="2"/>
      <c r="F383" s="2"/>
      <c r="G383">
        <f>F383 * VLOOKUP("adiwiyata", inject!A:B, 2, FALSE)</f>
        <v>0</v>
      </c>
      <c r="H383" s="2"/>
      <c r="I383" s="2"/>
      <c r="J383">
        <f>I383 * VLOOKUP("proklim", inject!A:B, 2, FALSE)</f>
        <v>0</v>
      </c>
      <c r="K383" s="2"/>
      <c r="L383" s="2"/>
      <c r="M383">
        <f>L383 * VLOOKUP("proper", inject!A:B, 2, FALSE)</f>
        <v>0</v>
      </c>
      <c r="N383" s="2"/>
      <c r="O383" s="2"/>
      <c r="P383">
        <f>O383 * VLOOKUP("kaltaparu", inject!A:B, 2, FALSE)</f>
        <v>0</v>
      </c>
      <c r="Q383" s="2"/>
    </row>
    <row r="384" spans="1:17">
      <c r="A384">
        <v>383</v>
      </c>
      <c r="B384" t="s">
        <v>395</v>
      </c>
      <c r="C384" s="2"/>
      <c r="D384">
        <f>C384 * VLOOKUP("adipura", inject!A:B, 2, FALSE)</f>
        <v>0</v>
      </c>
      <c r="E384" s="2"/>
      <c r="F384" s="2"/>
      <c r="G384">
        <f>F384 * VLOOKUP("adiwiyata", inject!A:B, 2, FALSE)</f>
        <v>0</v>
      </c>
      <c r="H384" s="2"/>
      <c r="I384" s="2"/>
      <c r="J384">
        <f>I384 * VLOOKUP("proklim", inject!A:B, 2, FALSE)</f>
        <v>0</v>
      </c>
      <c r="K384" s="2"/>
      <c r="L384" s="2"/>
      <c r="M384">
        <f>L384 * VLOOKUP("proper", inject!A:B, 2, FALSE)</f>
        <v>0</v>
      </c>
      <c r="N384" s="2"/>
      <c r="O384" s="2"/>
      <c r="P384">
        <f>O384 * VLOOKUP("kaltaparu", inject!A:B, 2, FALSE)</f>
        <v>0</v>
      </c>
      <c r="Q384" s="2"/>
    </row>
    <row r="385" spans="1:17">
      <c r="A385">
        <v>384</v>
      </c>
      <c r="B385" t="s">
        <v>396</v>
      </c>
      <c r="C385" s="2"/>
      <c r="D385">
        <f>C385 * VLOOKUP("adipura", inject!A:B, 2, FALSE)</f>
        <v>0</v>
      </c>
      <c r="E385" s="2"/>
      <c r="F385" s="2"/>
      <c r="G385">
        <f>F385 * VLOOKUP("adiwiyata", inject!A:B, 2, FALSE)</f>
        <v>0</v>
      </c>
      <c r="H385" s="2"/>
      <c r="I385" s="2"/>
      <c r="J385">
        <f>I385 * VLOOKUP("proklim", inject!A:B, 2, FALSE)</f>
        <v>0</v>
      </c>
      <c r="K385" s="2"/>
      <c r="L385" s="2"/>
      <c r="M385">
        <f>L385 * VLOOKUP("proper", inject!A:B, 2, FALSE)</f>
        <v>0</v>
      </c>
      <c r="N385" s="2"/>
      <c r="O385" s="2"/>
      <c r="P385">
        <f>O385 * VLOOKUP("kaltaparu", inject!A:B, 2, FALSE)</f>
        <v>0</v>
      </c>
      <c r="Q385" s="2"/>
    </row>
    <row r="386" spans="1:17">
      <c r="A386">
        <v>385</v>
      </c>
      <c r="B386" t="s">
        <v>397</v>
      </c>
      <c r="C386" s="2"/>
      <c r="D386">
        <f>C386 * VLOOKUP("adipura", inject!A:B, 2, FALSE)</f>
        <v>0</v>
      </c>
      <c r="E386" s="2"/>
      <c r="F386" s="2"/>
      <c r="G386">
        <f>F386 * VLOOKUP("adiwiyata", inject!A:B, 2, FALSE)</f>
        <v>0</v>
      </c>
      <c r="H386" s="2"/>
      <c r="I386" s="2"/>
      <c r="J386">
        <f>I386 * VLOOKUP("proklim", inject!A:B, 2, FALSE)</f>
        <v>0</v>
      </c>
      <c r="K386" s="2"/>
      <c r="L386" s="2"/>
      <c r="M386">
        <f>L386 * VLOOKUP("proper", inject!A:B, 2, FALSE)</f>
        <v>0</v>
      </c>
      <c r="N386" s="2"/>
      <c r="O386" s="2"/>
      <c r="P386">
        <f>O386 * VLOOKUP("kaltaparu", inject!A:B, 2, FALSE)</f>
        <v>0</v>
      </c>
      <c r="Q386" s="2"/>
    </row>
    <row r="387" spans="1:17">
      <c r="A387">
        <v>386</v>
      </c>
      <c r="B387" t="s">
        <v>398</v>
      </c>
      <c r="C387" s="2"/>
      <c r="D387">
        <f>C387 * VLOOKUP("adipura", inject!A:B, 2, FALSE)</f>
        <v>0</v>
      </c>
      <c r="E387" s="2"/>
      <c r="F387" s="2"/>
      <c r="G387">
        <f>F387 * VLOOKUP("adiwiyata", inject!A:B, 2, FALSE)</f>
        <v>0</v>
      </c>
      <c r="H387" s="2"/>
      <c r="I387" s="2"/>
      <c r="J387">
        <f>I387 * VLOOKUP("proklim", inject!A:B, 2, FALSE)</f>
        <v>0</v>
      </c>
      <c r="K387" s="2"/>
      <c r="L387" s="2"/>
      <c r="M387">
        <f>L387 * VLOOKUP("proper", inject!A:B, 2, FALSE)</f>
        <v>0</v>
      </c>
      <c r="N387" s="2"/>
      <c r="O387" s="2"/>
      <c r="P387">
        <f>O387 * VLOOKUP("kaltaparu", inject!A:B, 2, FALSE)</f>
        <v>0</v>
      </c>
      <c r="Q387" s="2"/>
    </row>
    <row r="388" spans="1:17">
      <c r="A388">
        <v>387</v>
      </c>
      <c r="B388" t="s">
        <v>399</v>
      </c>
      <c r="C388" s="2"/>
      <c r="D388">
        <f>C388 * VLOOKUP("adipura", inject!A:B, 2, FALSE)</f>
        <v>0</v>
      </c>
      <c r="E388" s="2"/>
      <c r="F388" s="2"/>
      <c r="G388">
        <f>F388 * VLOOKUP("adiwiyata", inject!A:B, 2, FALSE)</f>
        <v>0</v>
      </c>
      <c r="H388" s="2"/>
      <c r="I388" s="2"/>
      <c r="J388">
        <f>I388 * VLOOKUP("proklim", inject!A:B, 2, FALSE)</f>
        <v>0</v>
      </c>
      <c r="K388" s="2"/>
      <c r="L388" s="2"/>
      <c r="M388">
        <f>L388 * VLOOKUP("proper", inject!A:B, 2, FALSE)</f>
        <v>0</v>
      </c>
      <c r="N388" s="2"/>
      <c r="O388" s="2"/>
      <c r="P388">
        <f>O388 * VLOOKUP("kaltaparu", inject!A:B, 2, FALSE)</f>
        <v>0</v>
      </c>
      <c r="Q388" s="2"/>
    </row>
    <row r="389" spans="1:17">
      <c r="A389">
        <v>388</v>
      </c>
      <c r="B389" t="s">
        <v>400</v>
      </c>
      <c r="C389" s="2"/>
      <c r="D389">
        <f>C389 * VLOOKUP("adipura", inject!A:B, 2, FALSE)</f>
        <v>0</v>
      </c>
      <c r="E389" s="2"/>
      <c r="F389" s="2"/>
      <c r="G389">
        <f>F389 * VLOOKUP("adiwiyata", inject!A:B, 2, FALSE)</f>
        <v>0</v>
      </c>
      <c r="H389" s="2"/>
      <c r="I389" s="2"/>
      <c r="J389">
        <f>I389 * VLOOKUP("proklim", inject!A:B, 2, FALSE)</f>
        <v>0</v>
      </c>
      <c r="K389" s="2"/>
      <c r="L389" s="2"/>
      <c r="M389">
        <f>L389 * VLOOKUP("proper", inject!A:B, 2, FALSE)</f>
        <v>0</v>
      </c>
      <c r="N389" s="2"/>
      <c r="O389" s="2"/>
      <c r="P389">
        <f>O389 * VLOOKUP("kaltaparu", inject!A:B, 2, FALSE)</f>
        <v>0</v>
      </c>
      <c r="Q389" s="2"/>
    </row>
    <row r="390" spans="1:17">
      <c r="A390">
        <v>389</v>
      </c>
      <c r="B390" t="s">
        <v>401</v>
      </c>
      <c r="C390" s="2"/>
      <c r="D390">
        <f>C390 * VLOOKUP("adipura", inject!A:B, 2, FALSE)</f>
        <v>0</v>
      </c>
      <c r="E390" s="2"/>
      <c r="F390" s="2"/>
      <c r="G390">
        <f>F390 * VLOOKUP("adiwiyata", inject!A:B, 2, FALSE)</f>
        <v>0</v>
      </c>
      <c r="H390" s="2"/>
      <c r="I390" s="2"/>
      <c r="J390">
        <f>I390 * VLOOKUP("proklim", inject!A:B, 2, FALSE)</f>
        <v>0</v>
      </c>
      <c r="K390" s="2"/>
      <c r="L390" s="2"/>
      <c r="M390">
        <f>L390 * VLOOKUP("proper", inject!A:B, 2, FALSE)</f>
        <v>0</v>
      </c>
      <c r="N390" s="2"/>
      <c r="O390" s="2"/>
      <c r="P390">
        <f>O390 * VLOOKUP("kaltaparu", inject!A:B, 2, FALSE)</f>
        <v>0</v>
      </c>
      <c r="Q390" s="2"/>
    </row>
    <row r="391" spans="1:17">
      <c r="A391">
        <v>390</v>
      </c>
      <c r="B391" t="s">
        <v>402</v>
      </c>
      <c r="C391" s="2"/>
      <c r="D391">
        <f>C391 * VLOOKUP("adipura", inject!A:B, 2, FALSE)</f>
        <v>0</v>
      </c>
      <c r="E391" s="2"/>
      <c r="F391" s="2"/>
      <c r="G391">
        <f>F391 * VLOOKUP("adiwiyata", inject!A:B, 2, FALSE)</f>
        <v>0</v>
      </c>
      <c r="H391" s="2"/>
      <c r="I391" s="2"/>
      <c r="J391">
        <f>I391 * VLOOKUP("proklim", inject!A:B, 2, FALSE)</f>
        <v>0</v>
      </c>
      <c r="K391" s="2"/>
      <c r="L391" s="2"/>
      <c r="M391">
        <f>L391 * VLOOKUP("proper", inject!A:B, 2, FALSE)</f>
        <v>0</v>
      </c>
      <c r="N391" s="2"/>
      <c r="O391" s="2"/>
      <c r="P391">
        <f>O391 * VLOOKUP("kaltaparu", inject!A:B, 2, FALSE)</f>
        <v>0</v>
      </c>
      <c r="Q391" s="2"/>
    </row>
    <row r="392" spans="1:17">
      <c r="A392">
        <v>391</v>
      </c>
      <c r="B392" t="s">
        <v>403</v>
      </c>
      <c r="C392" s="2"/>
      <c r="D392">
        <f>C392 * VLOOKUP("adipura", inject!A:B, 2, FALSE)</f>
        <v>0</v>
      </c>
      <c r="E392" s="2"/>
      <c r="F392" s="2"/>
      <c r="G392">
        <f>F392 * VLOOKUP("adiwiyata", inject!A:B, 2, FALSE)</f>
        <v>0</v>
      </c>
      <c r="H392" s="2"/>
      <c r="I392" s="2"/>
      <c r="J392">
        <f>I392 * VLOOKUP("proklim", inject!A:B, 2, FALSE)</f>
        <v>0</v>
      </c>
      <c r="K392" s="2"/>
      <c r="L392" s="2"/>
      <c r="M392">
        <f>L392 * VLOOKUP("proper", inject!A:B, 2, FALSE)</f>
        <v>0</v>
      </c>
      <c r="N392" s="2"/>
      <c r="O392" s="2"/>
      <c r="P392">
        <f>O392 * VLOOKUP("kaltaparu", inject!A:B, 2, FALSE)</f>
        <v>0</v>
      </c>
      <c r="Q392" s="2"/>
    </row>
    <row r="393" spans="1:17">
      <c r="A393">
        <v>392</v>
      </c>
      <c r="B393" t="s">
        <v>404</v>
      </c>
      <c r="C393" s="2"/>
      <c r="D393">
        <f>C393 * VLOOKUP("adipura", inject!A:B, 2, FALSE)</f>
        <v>0</v>
      </c>
      <c r="E393" s="2"/>
      <c r="F393" s="2"/>
      <c r="G393">
        <f>F393 * VLOOKUP("adiwiyata", inject!A:B, 2, FALSE)</f>
        <v>0</v>
      </c>
      <c r="H393" s="2"/>
      <c r="I393" s="2"/>
      <c r="J393">
        <f>I393 * VLOOKUP("proklim", inject!A:B, 2, FALSE)</f>
        <v>0</v>
      </c>
      <c r="K393" s="2"/>
      <c r="L393" s="2"/>
      <c r="M393">
        <f>L393 * VLOOKUP("proper", inject!A:B, 2, FALSE)</f>
        <v>0</v>
      </c>
      <c r="N393" s="2"/>
      <c r="O393" s="2"/>
      <c r="P393">
        <f>O393 * VLOOKUP("kaltaparu", inject!A:B, 2, FALSE)</f>
        <v>0</v>
      </c>
      <c r="Q393" s="2"/>
    </row>
    <row r="394" spans="1:17">
      <c r="A394">
        <v>393</v>
      </c>
      <c r="B394" t="s">
        <v>405</v>
      </c>
      <c r="C394" s="2"/>
      <c r="D394">
        <f>C394 * VLOOKUP("adipura", inject!A:B, 2, FALSE)</f>
        <v>0</v>
      </c>
      <c r="E394" s="2"/>
      <c r="F394" s="2"/>
      <c r="G394">
        <f>F394 * VLOOKUP("adiwiyata", inject!A:B, 2, FALSE)</f>
        <v>0</v>
      </c>
      <c r="H394" s="2"/>
      <c r="I394" s="2"/>
      <c r="J394">
        <f>I394 * VLOOKUP("proklim", inject!A:B, 2, FALSE)</f>
        <v>0</v>
      </c>
      <c r="K394" s="2"/>
      <c r="L394" s="2"/>
      <c r="M394">
        <f>L394 * VLOOKUP("proper", inject!A:B, 2, FALSE)</f>
        <v>0</v>
      </c>
      <c r="N394" s="2"/>
      <c r="O394" s="2"/>
      <c r="P394">
        <f>O394 * VLOOKUP("kaltaparu", inject!A:B, 2, FALSE)</f>
        <v>0</v>
      </c>
      <c r="Q394" s="2"/>
    </row>
    <row r="395" spans="1:17">
      <c r="A395">
        <v>394</v>
      </c>
      <c r="B395" t="s">
        <v>406</v>
      </c>
      <c r="C395" s="2"/>
      <c r="D395">
        <f>C395 * VLOOKUP("adipura", inject!A:B, 2, FALSE)</f>
        <v>0</v>
      </c>
      <c r="E395" s="2"/>
      <c r="F395" s="2"/>
      <c r="G395">
        <f>F395 * VLOOKUP("adiwiyata", inject!A:B, 2, FALSE)</f>
        <v>0</v>
      </c>
      <c r="H395" s="2"/>
      <c r="I395" s="2"/>
      <c r="J395">
        <f>I395 * VLOOKUP("proklim", inject!A:B, 2, FALSE)</f>
        <v>0</v>
      </c>
      <c r="K395" s="2"/>
      <c r="L395" s="2"/>
      <c r="M395">
        <f>L395 * VLOOKUP("proper", inject!A:B, 2, FALSE)</f>
        <v>0</v>
      </c>
      <c r="N395" s="2"/>
      <c r="O395" s="2"/>
      <c r="P395">
        <f>O395 * VLOOKUP("kaltaparu", inject!A:B, 2, FALSE)</f>
        <v>0</v>
      </c>
      <c r="Q395" s="2"/>
    </row>
    <row r="396" spans="1:17">
      <c r="A396">
        <v>395</v>
      </c>
      <c r="B396" t="s">
        <v>407</v>
      </c>
      <c r="C396" s="2"/>
      <c r="D396">
        <f>C396 * VLOOKUP("adipura", inject!A:B, 2, FALSE)</f>
        <v>0</v>
      </c>
      <c r="E396" s="2"/>
      <c r="F396" s="2"/>
      <c r="G396">
        <f>F396 * VLOOKUP("adiwiyata", inject!A:B, 2, FALSE)</f>
        <v>0</v>
      </c>
      <c r="H396" s="2"/>
      <c r="I396" s="2"/>
      <c r="J396">
        <f>I396 * VLOOKUP("proklim", inject!A:B, 2, FALSE)</f>
        <v>0</v>
      </c>
      <c r="K396" s="2"/>
      <c r="L396" s="2"/>
      <c r="M396">
        <f>L396 * VLOOKUP("proper", inject!A:B, 2, FALSE)</f>
        <v>0</v>
      </c>
      <c r="N396" s="2"/>
      <c r="O396" s="2"/>
      <c r="P396">
        <f>O396 * VLOOKUP("kaltaparu", inject!A:B, 2, FALSE)</f>
        <v>0</v>
      </c>
      <c r="Q396" s="2"/>
    </row>
    <row r="397" spans="1:17">
      <c r="A397">
        <v>396</v>
      </c>
      <c r="B397" t="s">
        <v>408</v>
      </c>
      <c r="C397" s="2"/>
      <c r="D397">
        <f>C397 * VLOOKUP("adipura", inject!A:B, 2, FALSE)</f>
        <v>0</v>
      </c>
      <c r="E397" s="2"/>
      <c r="F397" s="2"/>
      <c r="G397">
        <f>F397 * VLOOKUP("adiwiyata", inject!A:B, 2, FALSE)</f>
        <v>0</v>
      </c>
      <c r="H397" s="2"/>
      <c r="I397" s="2"/>
      <c r="J397">
        <f>I397 * VLOOKUP("proklim", inject!A:B, 2, FALSE)</f>
        <v>0</v>
      </c>
      <c r="K397" s="2"/>
      <c r="L397" s="2"/>
      <c r="M397">
        <f>L397 * VLOOKUP("proper", inject!A:B, 2, FALSE)</f>
        <v>0</v>
      </c>
      <c r="N397" s="2"/>
      <c r="O397" s="2"/>
      <c r="P397">
        <f>O397 * VLOOKUP("kaltaparu", inject!A:B, 2, FALSE)</f>
        <v>0</v>
      </c>
      <c r="Q397" s="2"/>
    </row>
    <row r="398" spans="1:17">
      <c r="A398">
        <v>397</v>
      </c>
      <c r="B398" t="s">
        <v>409</v>
      </c>
      <c r="C398" s="2"/>
      <c r="D398">
        <f>C398 * VLOOKUP("adipura", inject!A:B, 2, FALSE)</f>
        <v>0</v>
      </c>
      <c r="E398" s="2"/>
      <c r="F398" s="2"/>
      <c r="G398">
        <f>F398 * VLOOKUP("adiwiyata", inject!A:B, 2, FALSE)</f>
        <v>0</v>
      </c>
      <c r="H398" s="2"/>
      <c r="I398" s="2"/>
      <c r="J398">
        <f>I398 * VLOOKUP("proklim", inject!A:B, 2, FALSE)</f>
        <v>0</v>
      </c>
      <c r="K398" s="2"/>
      <c r="L398" s="2"/>
      <c r="M398">
        <f>L398 * VLOOKUP("proper", inject!A:B, 2, FALSE)</f>
        <v>0</v>
      </c>
      <c r="N398" s="2"/>
      <c r="O398" s="2"/>
      <c r="P398">
        <f>O398 * VLOOKUP("kaltaparu", inject!A:B, 2, FALSE)</f>
        <v>0</v>
      </c>
      <c r="Q398" s="2"/>
    </row>
    <row r="399" spans="1:17">
      <c r="A399">
        <v>398</v>
      </c>
      <c r="B399" t="s">
        <v>410</v>
      </c>
      <c r="C399" s="2"/>
      <c r="D399">
        <f>C399 * VLOOKUP("adipura", inject!A:B, 2, FALSE)</f>
        <v>0</v>
      </c>
      <c r="E399" s="2"/>
      <c r="F399" s="2"/>
      <c r="G399">
        <f>F399 * VLOOKUP("adiwiyata", inject!A:B, 2, FALSE)</f>
        <v>0</v>
      </c>
      <c r="H399" s="2"/>
      <c r="I399" s="2"/>
      <c r="J399">
        <f>I399 * VLOOKUP("proklim", inject!A:B, 2, FALSE)</f>
        <v>0</v>
      </c>
      <c r="K399" s="2"/>
      <c r="L399" s="2"/>
      <c r="M399">
        <f>L399 * VLOOKUP("proper", inject!A:B, 2, FALSE)</f>
        <v>0</v>
      </c>
      <c r="N399" s="2"/>
      <c r="O399" s="2"/>
      <c r="P399">
        <f>O399 * VLOOKUP("kaltaparu", inject!A:B, 2, FALSE)</f>
        <v>0</v>
      </c>
      <c r="Q399" s="2"/>
    </row>
    <row r="400" spans="1:17">
      <c r="A400">
        <v>399</v>
      </c>
      <c r="B400" t="s">
        <v>411</v>
      </c>
      <c r="C400" s="2"/>
      <c r="D400">
        <f>C400 * VLOOKUP("adipura", inject!A:B, 2, FALSE)</f>
        <v>0</v>
      </c>
      <c r="E400" s="2"/>
      <c r="F400" s="2"/>
      <c r="G400">
        <f>F400 * VLOOKUP("adiwiyata", inject!A:B, 2, FALSE)</f>
        <v>0</v>
      </c>
      <c r="H400" s="2"/>
      <c r="I400" s="2"/>
      <c r="J400">
        <f>I400 * VLOOKUP("proklim", inject!A:B, 2, FALSE)</f>
        <v>0</v>
      </c>
      <c r="K400" s="2"/>
      <c r="L400" s="2"/>
      <c r="M400">
        <f>L400 * VLOOKUP("proper", inject!A:B, 2, FALSE)</f>
        <v>0</v>
      </c>
      <c r="N400" s="2"/>
      <c r="O400" s="2"/>
      <c r="P400">
        <f>O400 * VLOOKUP("kaltaparu", inject!A:B, 2, FALSE)</f>
        <v>0</v>
      </c>
      <c r="Q400" s="2"/>
    </row>
    <row r="401" spans="1:17">
      <c r="A401">
        <v>400</v>
      </c>
      <c r="B401" t="s">
        <v>412</v>
      </c>
      <c r="C401" s="2"/>
      <c r="D401">
        <f>C401 * VLOOKUP("adipura", inject!A:B, 2, FALSE)</f>
        <v>0</v>
      </c>
      <c r="E401" s="2"/>
      <c r="F401" s="2"/>
      <c r="G401">
        <f>F401 * VLOOKUP("adiwiyata", inject!A:B, 2, FALSE)</f>
        <v>0</v>
      </c>
      <c r="H401" s="2"/>
      <c r="I401" s="2"/>
      <c r="J401">
        <f>I401 * VLOOKUP("proklim", inject!A:B, 2, FALSE)</f>
        <v>0</v>
      </c>
      <c r="K401" s="2"/>
      <c r="L401" s="2"/>
      <c r="M401">
        <f>L401 * VLOOKUP("proper", inject!A:B, 2, FALSE)</f>
        <v>0</v>
      </c>
      <c r="N401" s="2"/>
      <c r="O401" s="2"/>
      <c r="P401">
        <f>O401 * VLOOKUP("kaltaparu", inject!A:B, 2, FALSE)</f>
        <v>0</v>
      </c>
      <c r="Q401" s="2"/>
    </row>
    <row r="402" spans="1:17">
      <c r="A402">
        <v>401</v>
      </c>
      <c r="B402" t="s">
        <v>413</v>
      </c>
      <c r="C402" s="2"/>
      <c r="D402">
        <f>C402 * VLOOKUP("adipura", inject!A:B, 2, FALSE)</f>
        <v>0</v>
      </c>
      <c r="E402" s="2"/>
      <c r="F402" s="2"/>
      <c r="G402">
        <f>F402 * VLOOKUP("adiwiyata", inject!A:B, 2, FALSE)</f>
        <v>0</v>
      </c>
      <c r="H402" s="2"/>
      <c r="I402" s="2"/>
      <c r="J402">
        <f>I402 * VLOOKUP("proklim", inject!A:B, 2, FALSE)</f>
        <v>0</v>
      </c>
      <c r="K402" s="2"/>
      <c r="L402" s="2"/>
      <c r="M402">
        <f>L402 * VLOOKUP("proper", inject!A:B, 2, FALSE)</f>
        <v>0</v>
      </c>
      <c r="N402" s="2"/>
      <c r="O402" s="2"/>
      <c r="P402">
        <f>O402 * VLOOKUP("kaltaparu", inject!A:B, 2, FALSE)</f>
        <v>0</v>
      </c>
      <c r="Q402" s="2"/>
    </row>
    <row r="403" spans="1:17">
      <c r="A403">
        <v>402</v>
      </c>
      <c r="B403" t="s">
        <v>414</v>
      </c>
      <c r="C403" s="2"/>
      <c r="D403">
        <f>C403 * VLOOKUP("adipura", inject!A:B, 2, FALSE)</f>
        <v>0</v>
      </c>
      <c r="E403" s="2"/>
      <c r="F403" s="2"/>
      <c r="G403">
        <f>F403 * VLOOKUP("adiwiyata", inject!A:B, 2, FALSE)</f>
        <v>0</v>
      </c>
      <c r="H403" s="2"/>
      <c r="I403" s="2"/>
      <c r="J403">
        <f>I403 * VLOOKUP("proklim", inject!A:B, 2, FALSE)</f>
        <v>0</v>
      </c>
      <c r="K403" s="2"/>
      <c r="L403" s="2"/>
      <c r="M403">
        <f>L403 * VLOOKUP("proper", inject!A:B, 2, FALSE)</f>
        <v>0</v>
      </c>
      <c r="N403" s="2"/>
      <c r="O403" s="2"/>
      <c r="P403">
        <f>O403 * VLOOKUP("kaltaparu", inject!A:B, 2, FALSE)</f>
        <v>0</v>
      </c>
      <c r="Q403" s="2"/>
    </row>
    <row r="404" spans="1:17">
      <c r="A404">
        <v>403</v>
      </c>
      <c r="B404" t="s">
        <v>415</v>
      </c>
      <c r="C404" s="2"/>
      <c r="D404">
        <f>C404 * VLOOKUP("adipura", inject!A:B, 2, FALSE)</f>
        <v>0</v>
      </c>
      <c r="E404" s="2"/>
      <c r="F404" s="2"/>
      <c r="G404">
        <f>F404 * VLOOKUP("adiwiyata", inject!A:B, 2, FALSE)</f>
        <v>0</v>
      </c>
      <c r="H404" s="2"/>
      <c r="I404" s="2"/>
      <c r="J404">
        <f>I404 * VLOOKUP("proklim", inject!A:B, 2, FALSE)</f>
        <v>0</v>
      </c>
      <c r="K404" s="2"/>
      <c r="L404" s="2"/>
      <c r="M404">
        <f>L404 * VLOOKUP("proper", inject!A:B, 2, FALSE)</f>
        <v>0</v>
      </c>
      <c r="N404" s="2"/>
      <c r="O404" s="2"/>
      <c r="P404">
        <f>O404 * VLOOKUP("kaltaparu", inject!A:B, 2, FALSE)</f>
        <v>0</v>
      </c>
      <c r="Q404" s="2"/>
    </row>
    <row r="405" spans="1:17">
      <c r="A405">
        <v>404</v>
      </c>
      <c r="B405" t="s">
        <v>416</v>
      </c>
      <c r="C405" s="2"/>
      <c r="D405">
        <f>C405 * VLOOKUP("adipura", inject!A:B, 2, FALSE)</f>
        <v>0</v>
      </c>
      <c r="E405" s="2"/>
      <c r="F405" s="2"/>
      <c r="G405">
        <f>F405 * VLOOKUP("adiwiyata", inject!A:B, 2, FALSE)</f>
        <v>0</v>
      </c>
      <c r="H405" s="2"/>
      <c r="I405" s="2"/>
      <c r="J405">
        <f>I405 * VLOOKUP("proklim", inject!A:B, 2, FALSE)</f>
        <v>0</v>
      </c>
      <c r="K405" s="2"/>
      <c r="L405" s="2"/>
      <c r="M405">
        <f>L405 * VLOOKUP("proper", inject!A:B, 2, FALSE)</f>
        <v>0</v>
      </c>
      <c r="N405" s="2"/>
      <c r="O405" s="2"/>
      <c r="P405">
        <f>O405 * VLOOKUP("kaltaparu", inject!A:B, 2, FALSE)</f>
        <v>0</v>
      </c>
      <c r="Q405" s="2"/>
    </row>
    <row r="406" spans="1:17">
      <c r="A406">
        <v>405</v>
      </c>
      <c r="B406" t="s">
        <v>417</v>
      </c>
      <c r="C406" s="2"/>
      <c r="D406">
        <f>C406 * VLOOKUP("adipura", inject!A:B, 2, FALSE)</f>
        <v>0</v>
      </c>
      <c r="E406" s="2"/>
      <c r="F406" s="2"/>
      <c r="G406">
        <f>F406 * VLOOKUP("adiwiyata", inject!A:B, 2, FALSE)</f>
        <v>0</v>
      </c>
      <c r="H406" s="2"/>
      <c r="I406" s="2"/>
      <c r="J406">
        <f>I406 * VLOOKUP("proklim", inject!A:B, 2, FALSE)</f>
        <v>0</v>
      </c>
      <c r="K406" s="2"/>
      <c r="L406" s="2"/>
      <c r="M406">
        <f>L406 * VLOOKUP("proper", inject!A:B, 2, FALSE)</f>
        <v>0</v>
      </c>
      <c r="N406" s="2"/>
      <c r="O406" s="2"/>
      <c r="P406">
        <f>O406 * VLOOKUP("kaltaparu", inject!A:B, 2, FALSE)</f>
        <v>0</v>
      </c>
      <c r="Q406" s="2"/>
    </row>
    <row r="407" spans="1:17">
      <c r="A407">
        <v>406</v>
      </c>
      <c r="B407" t="s">
        <v>418</v>
      </c>
      <c r="C407" s="2"/>
      <c r="D407">
        <f>C407 * VLOOKUP("adipura", inject!A:B, 2, FALSE)</f>
        <v>0</v>
      </c>
      <c r="E407" s="2"/>
      <c r="F407" s="2"/>
      <c r="G407">
        <f>F407 * VLOOKUP("adiwiyata", inject!A:B, 2, FALSE)</f>
        <v>0</v>
      </c>
      <c r="H407" s="2"/>
      <c r="I407" s="2"/>
      <c r="J407">
        <f>I407 * VLOOKUP("proklim", inject!A:B, 2, FALSE)</f>
        <v>0</v>
      </c>
      <c r="K407" s="2"/>
      <c r="L407" s="2"/>
      <c r="M407">
        <f>L407 * VLOOKUP("proper", inject!A:B, 2, FALSE)</f>
        <v>0</v>
      </c>
      <c r="N407" s="2"/>
      <c r="O407" s="2"/>
      <c r="P407">
        <f>O407 * VLOOKUP("kaltaparu", inject!A:B, 2, FALSE)</f>
        <v>0</v>
      </c>
      <c r="Q407" s="2"/>
    </row>
    <row r="408" spans="1:17">
      <c r="A408">
        <v>407</v>
      </c>
      <c r="B408" t="s">
        <v>419</v>
      </c>
      <c r="C408" s="2"/>
      <c r="D408">
        <f>C408 * VLOOKUP("adipura", inject!A:B, 2, FALSE)</f>
        <v>0</v>
      </c>
      <c r="E408" s="2"/>
      <c r="F408" s="2"/>
      <c r="G408">
        <f>F408 * VLOOKUP("adiwiyata", inject!A:B, 2, FALSE)</f>
        <v>0</v>
      </c>
      <c r="H408" s="2"/>
      <c r="I408" s="2"/>
      <c r="J408">
        <f>I408 * VLOOKUP("proklim", inject!A:B, 2, FALSE)</f>
        <v>0</v>
      </c>
      <c r="K408" s="2"/>
      <c r="L408" s="2"/>
      <c r="M408">
        <f>L408 * VLOOKUP("proper", inject!A:B, 2, FALSE)</f>
        <v>0</v>
      </c>
      <c r="N408" s="2"/>
      <c r="O408" s="2"/>
      <c r="P408">
        <f>O408 * VLOOKUP("kaltaparu", inject!A:B, 2, FALSE)</f>
        <v>0</v>
      </c>
      <c r="Q408" s="2"/>
    </row>
    <row r="409" spans="1:17">
      <c r="A409">
        <v>408</v>
      </c>
      <c r="B409" t="s">
        <v>420</v>
      </c>
      <c r="C409" s="2"/>
      <c r="D409">
        <f>C409 * VLOOKUP("adipura", inject!A:B, 2, FALSE)</f>
        <v>0</v>
      </c>
      <c r="E409" s="2"/>
      <c r="F409" s="2"/>
      <c r="G409">
        <f>F409 * VLOOKUP("adiwiyata", inject!A:B, 2, FALSE)</f>
        <v>0</v>
      </c>
      <c r="H409" s="2"/>
      <c r="I409" s="2"/>
      <c r="J409">
        <f>I409 * VLOOKUP("proklim", inject!A:B, 2, FALSE)</f>
        <v>0</v>
      </c>
      <c r="K409" s="2"/>
      <c r="L409" s="2"/>
      <c r="M409">
        <f>L409 * VLOOKUP("proper", inject!A:B, 2, FALSE)</f>
        <v>0</v>
      </c>
      <c r="N409" s="2"/>
      <c r="O409" s="2"/>
      <c r="P409">
        <f>O409 * VLOOKUP("kaltaparu", inject!A:B, 2, FALSE)</f>
        <v>0</v>
      </c>
      <c r="Q409" s="2"/>
    </row>
    <row r="410" spans="1:17">
      <c r="A410">
        <v>409</v>
      </c>
      <c r="B410" t="s">
        <v>421</v>
      </c>
      <c r="C410" s="2"/>
      <c r="D410">
        <f>C410 * VLOOKUP("adipura", inject!A:B, 2, FALSE)</f>
        <v>0</v>
      </c>
      <c r="E410" s="2"/>
      <c r="F410" s="2"/>
      <c r="G410">
        <f>F410 * VLOOKUP("adiwiyata", inject!A:B, 2, FALSE)</f>
        <v>0</v>
      </c>
      <c r="H410" s="2"/>
      <c r="I410" s="2"/>
      <c r="J410">
        <f>I410 * VLOOKUP("proklim", inject!A:B, 2, FALSE)</f>
        <v>0</v>
      </c>
      <c r="K410" s="2"/>
      <c r="L410" s="2"/>
      <c r="M410">
        <f>L410 * VLOOKUP("proper", inject!A:B, 2, FALSE)</f>
        <v>0</v>
      </c>
      <c r="N410" s="2"/>
      <c r="O410" s="2"/>
      <c r="P410">
        <f>O410 * VLOOKUP("kaltaparu", inject!A:B, 2, FALSE)</f>
        <v>0</v>
      </c>
      <c r="Q410" s="2"/>
    </row>
    <row r="411" spans="1:17">
      <c r="A411">
        <v>410</v>
      </c>
      <c r="B411" t="s">
        <v>422</v>
      </c>
      <c r="C411" s="2"/>
      <c r="D411">
        <f>C411 * VLOOKUP("adipura", inject!A:B, 2, FALSE)</f>
        <v>0</v>
      </c>
      <c r="E411" s="2"/>
      <c r="F411" s="2"/>
      <c r="G411">
        <f>F411 * VLOOKUP("adiwiyata", inject!A:B, 2, FALSE)</f>
        <v>0</v>
      </c>
      <c r="H411" s="2"/>
      <c r="I411" s="2"/>
      <c r="J411">
        <f>I411 * VLOOKUP("proklim", inject!A:B, 2, FALSE)</f>
        <v>0</v>
      </c>
      <c r="K411" s="2"/>
      <c r="L411" s="2"/>
      <c r="M411">
        <f>L411 * VLOOKUP("proper", inject!A:B, 2, FALSE)</f>
        <v>0</v>
      </c>
      <c r="N411" s="2"/>
      <c r="O411" s="2"/>
      <c r="P411">
        <f>O411 * VLOOKUP("kaltaparu", inject!A:B, 2, FALSE)</f>
        <v>0</v>
      </c>
      <c r="Q411" s="2"/>
    </row>
    <row r="412" spans="1:17">
      <c r="A412">
        <v>411</v>
      </c>
      <c r="B412" t="s">
        <v>423</v>
      </c>
      <c r="C412" s="2"/>
      <c r="D412">
        <f>C412 * VLOOKUP("adipura", inject!A:B, 2, FALSE)</f>
        <v>0</v>
      </c>
      <c r="E412" s="2"/>
      <c r="F412" s="2"/>
      <c r="G412">
        <f>F412 * VLOOKUP("adiwiyata", inject!A:B, 2, FALSE)</f>
        <v>0</v>
      </c>
      <c r="H412" s="2"/>
      <c r="I412" s="2"/>
      <c r="J412">
        <f>I412 * VLOOKUP("proklim", inject!A:B, 2, FALSE)</f>
        <v>0</v>
      </c>
      <c r="K412" s="2"/>
      <c r="L412" s="2"/>
      <c r="M412">
        <f>L412 * VLOOKUP("proper", inject!A:B, 2, FALSE)</f>
        <v>0</v>
      </c>
      <c r="N412" s="2"/>
      <c r="O412" s="2"/>
      <c r="P412">
        <f>O412 * VLOOKUP("kaltaparu", inject!A:B, 2, FALSE)</f>
        <v>0</v>
      </c>
      <c r="Q412" s="2"/>
    </row>
    <row r="413" spans="1:17">
      <c r="A413">
        <v>412</v>
      </c>
      <c r="B413" t="s">
        <v>424</v>
      </c>
      <c r="C413" s="2"/>
      <c r="D413">
        <f>C413 * VLOOKUP("adipura", inject!A:B, 2, FALSE)</f>
        <v>0</v>
      </c>
      <c r="E413" s="2"/>
      <c r="F413" s="2"/>
      <c r="G413">
        <f>F413 * VLOOKUP("adiwiyata", inject!A:B, 2, FALSE)</f>
        <v>0</v>
      </c>
      <c r="H413" s="2"/>
      <c r="I413" s="2"/>
      <c r="J413">
        <f>I413 * VLOOKUP("proklim", inject!A:B, 2, FALSE)</f>
        <v>0</v>
      </c>
      <c r="K413" s="2"/>
      <c r="L413" s="2"/>
      <c r="M413">
        <f>L413 * VLOOKUP("proper", inject!A:B, 2, FALSE)</f>
        <v>0</v>
      </c>
      <c r="N413" s="2"/>
      <c r="O413" s="2"/>
      <c r="P413">
        <f>O413 * VLOOKUP("kaltaparu", inject!A:B, 2, FALSE)</f>
        <v>0</v>
      </c>
      <c r="Q413" s="2"/>
    </row>
    <row r="414" spans="1:17">
      <c r="A414">
        <v>413</v>
      </c>
      <c r="B414" t="s">
        <v>425</v>
      </c>
      <c r="C414" s="2"/>
      <c r="D414">
        <f>C414 * VLOOKUP("adipura", inject!A:B, 2, FALSE)</f>
        <v>0</v>
      </c>
      <c r="E414" s="2"/>
      <c r="F414" s="2"/>
      <c r="G414">
        <f>F414 * VLOOKUP("adiwiyata", inject!A:B, 2, FALSE)</f>
        <v>0</v>
      </c>
      <c r="H414" s="2"/>
      <c r="I414" s="2"/>
      <c r="J414">
        <f>I414 * VLOOKUP("proklim", inject!A:B, 2, FALSE)</f>
        <v>0</v>
      </c>
      <c r="K414" s="2"/>
      <c r="L414" s="2"/>
      <c r="M414">
        <f>L414 * VLOOKUP("proper", inject!A:B, 2, FALSE)</f>
        <v>0</v>
      </c>
      <c r="N414" s="2"/>
      <c r="O414" s="2"/>
      <c r="P414">
        <f>O414 * VLOOKUP("kaltaparu", inject!A:B, 2, FALSE)</f>
        <v>0</v>
      </c>
      <c r="Q414" s="2"/>
    </row>
    <row r="415" spans="1:17">
      <c r="A415">
        <v>414</v>
      </c>
      <c r="B415" t="s">
        <v>426</v>
      </c>
      <c r="C415" s="2"/>
      <c r="D415">
        <f>C415 * VLOOKUP("adipura", inject!A:B, 2, FALSE)</f>
        <v>0</v>
      </c>
      <c r="E415" s="2"/>
      <c r="F415" s="2"/>
      <c r="G415">
        <f>F415 * VLOOKUP("adiwiyata", inject!A:B, 2, FALSE)</f>
        <v>0</v>
      </c>
      <c r="H415" s="2"/>
      <c r="I415" s="2"/>
      <c r="J415">
        <f>I415 * VLOOKUP("proklim", inject!A:B, 2, FALSE)</f>
        <v>0</v>
      </c>
      <c r="K415" s="2"/>
      <c r="L415" s="2"/>
      <c r="M415">
        <f>L415 * VLOOKUP("proper", inject!A:B, 2, FALSE)</f>
        <v>0</v>
      </c>
      <c r="N415" s="2"/>
      <c r="O415" s="2"/>
      <c r="P415">
        <f>O415 * VLOOKUP("kaltaparu", inject!A:B, 2, FALSE)</f>
        <v>0</v>
      </c>
      <c r="Q415" s="2"/>
    </row>
    <row r="416" spans="1:17">
      <c r="A416">
        <v>415</v>
      </c>
      <c r="B416" t="s">
        <v>427</v>
      </c>
      <c r="C416" s="2"/>
      <c r="D416">
        <f>C416 * VLOOKUP("adipura", inject!A:B, 2, FALSE)</f>
        <v>0</v>
      </c>
      <c r="E416" s="2"/>
      <c r="F416" s="2"/>
      <c r="G416">
        <f>F416 * VLOOKUP("adiwiyata", inject!A:B, 2, FALSE)</f>
        <v>0</v>
      </c>
      <c r="H416" s="2"/>
      <c r="I416" s="2"/>
      <c r="J416">
        <f>I416 * VLOOKUP("proklim", inject!A:B, 2, FALSE)</f>
        <v>0</v>
      </c>
      <c r="K416" s="2"/>
      <c r="L416" s="2"/>
      <c r="M416">
        <f>L416 * VLOOKUP("proper", inject!A:B, 2, FALSE)</f>
        <v>0</v>
      </c>
      <c r="N416" s="2"/>
      <c r="O416" s="2"/>
      <c r="P416">
        <f>O416 * VLOOKUP("kaltaparu", inject!A:B, 2, FALSE)</f>
        <v>0</v>
      </c>
      <c r="Q416" s="2"/>
    </row>
    <row r="417" spans="1:17">
      <c r="A417">
        <v>416</v>
      </c>
      <c r="B417" t="s">
        <v>428</v>
      </c>
      <c r="C417" s="2"/>
      <c r="D417">
        <f>C417 * VLOOKUP("adipura", inject!A:B, 2, FALSE)</f>
        <v>0</v>
      </c>
      <c r="E417" s="2"/>
      <c r="F417" s="2"/>
      <c r="G417">
        <f>F417 * VLOOKUP("adiwiyata", inject!A:B, 2, FALSE)</f>
        <v>0</v>
      </c>
      <c r="H417" s="2"/>
      <c r="I417" s="2"/>
      <c r="J417">
        <f>I417 * VLOOKUP("proklim", inject!A:B, 2, FALSE)</f>
        <v>0</v>
      </c>
      <c r="K417" s="2"/>
      <c r="L417" s="2"/>
      <c r="M417">
        <f>L417 * VLOOKUP("proper", inject!A:B, 2, FALSE)</f>
        <v>0</v>
      </c>
      <c r="N417" s="2"/>
      <c r="O417" s="2"/>
      <c r="P417">
        <f>O417 * VLOOKUP("kaltaparu", inject!A:B, 2, FALSE)</f>
        <v>0</v>
      </c>
      <c r="Q417" s="2"/>
    </row>
    <row r="418" spans="1:17">
      <c r="A418">
        <v>417</v>
      </c>
      <c r="B418" t="s">
        <v>429</v>
      </c>
      <c r="C418" s="2"/>
      <c r="D418">
        <f>C418 * VLOOKUP("adipura", inject!A:B, 2, FALSE)</f>
        <v>0</v>
      </c>
      <c r="E418" s="2"/>
      <c r="F418" s="2"/>
      <c r="G418">
        <f>F418 * VLOOKUP("adiwiyata", inject!A:B, 2, FALSE)</f>
        <v>0</v>
      </c>
      <c r="H418" s="2"/>
      <c r="I418" s="2"/>
      <c r="J418">
        <f>I418 * VLOOKUP("proklim", inject!A:B, 2, FALSE)</f>
        <v>0</v>
      </c>
      <c r="K418" s="2"/>
      <c r="L418" s="2"/>
      <c r="M418">
        <f>L418 * VLOOKUP("proper", inject!A:B, 2, FALSE)</f>
        <v>0</v>
      </c>
      <c r="N418" s="2"/>
      <c r="O418" s="2"/>
      <c r="P418">
        <f>O418 * VLOOKUP("kaltaparu", inject!A:B, 2, FALSE)</f>
        <v>0</v>
      </c>
      <c r="Q418" s="2"/>
    </row>
    <row r="419" spans="1:17">
      <c r="A419">
        <v>418</v>
      </c>
      <c r="B419" t="s">
        <v>430</v>
      </c>
      <c r="C419" s="2"/>
      <c r="D419">
        <f>C419 * VLOOKUP("adipura", inject!A:B, 2, FALSE)</f>
        <v>0</v>
      </c>
      <c r="E419" s="2"/>
      <c r="F419" s="2"/>
      <c r="G419">
        <f>F419 * VLOOKUP("adiwiyata", inject!A:B, 2, FALSE)</f>
        <v>0</v>
      </c>
      <c r="H419" s="2"/>
      <c r="I419" s="2"/>
      <c r="J419">
        <f>I419 * VLOOKUP("proklim", inject!A:B, 2, FALSE)</f>
        <v>0</v>
      </c>
      <c r="K419" s="2"/>
      <c r="L419" s="2"/>
      <c r="M419">
        <f>L419 * VLOOKUP("proper", inject!A:B, 2, FALSE)</f>
        <v>0</v>
      </c>
      <c r="N419" s="2"/>
      <c r="O419" s="2"/>
      <c r="P419">
        <f>O419 * VLOOKUP("kaltaparu", inject!A:B, 2, FALSE)</f>
        <v>0</v>
      </c>
      <c r="Q419" s="2"/>
    </row>
    <row r="420" spans="1:17">
      <c r="A420">
        <v>419</v>
      </c>
      <c r="B420" t="s">
        <v>431</v>
      </c>
      <c r="C420" s="2"/>
      <c r="D420">
        <f>C420 * VLOOKUP("adipura", inject!A:B, 2, FALSE)</f>
        <v>0</v>
      </c>
      <c r="E420" s="2"/>
      <c r="F420" s="2"/>
      <c r="G420">
        <f>F420 * VLOOKUP("adiwiyata", inject!A:B, 2, FALSE)</f>
        <v>0</v>
      </c>
      <c r="H420" s="2"/>
      <c r="I420" s="2"/>
      <c r="J420">
        <f>I420 * VLOOKUP("proklim", inject!A:B, 2, FALSE)</f>
        <v>0</v>
      </c>
      <c r="K420" s="2"/>
      <c r="L420" s="2"/>
      <c r="M420">
        <f>L420 * VLOOKUP("proper", inject!A:B, 2, FALSE)</f>
        <v>0</v>
      </c>
      <c r="N420" s="2"/>
      <c r="O420" s="2"/>
      <c r="P420">
        <f>O420 * VLOOKUP("kaltaparu", inject!A:B, 2, FALSE)</f>
        <v>0</v>
      </c>
      <c r="Q420" s="2"/>
    </row>
    <row r="421" spans="1:17">
      <c r="A421">
        <v>420</v>
      </c>
      <c r="B421" t="s">
        <v>432</v>
      </c>
      <c r="C421" s="2"/>
      <c r="D421">
        <f>C421 * VLOOKUP("adipura", inject!A:B, 2, FALSE)</f>
        <v>0</v>
      </c>
      <c r="E421" s="2"/>
      <c r="F421" s="2"/>
      <c r="G421">
        <f>F421 * VLOOKUP("adiwiyata", inject!A:B, 2, FALSE)</f>
        <v>0</v>
      </c>
      <c r="H421" s="2"/>
      <c r="I421" s="2"/>
      <c r="J421">
        <f>I421 * VLOOKUP("proklim", inject!A:B, 2, FALSE)</f>
        <v>0</v>
      </c>
      <c r="K421" s="2"/>
      <c r="L421" s="2"/>
      <c r="M421">
        <f>L421 * VLOOKUP("proper", inject!A:B, 2, FALSE)</f>
        <v>0</v>
      </c>
      <c r="N421" s="2"/>
      <c r="O421" s="2"/>
      <c r="P421">
        <f>O421 * VLOOKUP("kaltaparu", inject!A:B, 2, FALSE)</f>
        <v>0</v>
      </c>
      <c r="Q421" s="2"/>
    </row>
    <row r="422" spans="1:17">
      <c r="A422">
        <v>421</v>
      </c>
      <c r="B422" t="s">
        <v>433</v>
      </c>
      <c r="C422" s="2"/>
      <c r="D422">
        <f>C422 * VLOOKUP("adipura", inject!A:B, 2, FALSE)</f>
        <v>0</v>
      </c>
      <c r="E422" s="2"/>
      <c r="F422" s="2"/>
      <c r="G422">
        <f>F422 * VLOOKUP("adiwiyata", inject!A:B, 2, FALSE)</f>
        <v>0</v>
      </c>
      <c r="H422" s="2"/>
      <c r="I422" s="2"/>
      <c r="J422">
        <f>I422 * VLOOKUP("proklim", inject!A:B, 2, FALSE)</f>
        <v>0</v>
      </c>
      <c r="K422" s="2"/>
      <c r="L422" s="2"/>
      <c r="M422">
        <f>L422 * VLOOKUP("proper", inject!A:B, 2, FALSE)</f>
        <v>0</v>
      </c>
      <c r="N422" s="2"/>
      <c r="O422" s="2"/>
      <c r="P422">
        <f>O422 * VLOOKUP("kaltaparu", inject!A:B, 2, FALSE)</f>
        <v>0</v>
      </c>
      <c r="Q422" s="2"/>
    </row>
    <row r="423" spans="1:17">
      <c r="A423">
        <v>422</v>
      </c>
      <c r="B423" t="s">
        <v>434</v>
      </c>
      <c r="C423" s="2"/>
      <c r="D423">
        <f>C423 * VLOOKUP("adipura", inject!A:B, 2, FALSE)</f>
        <v>0</v>
      </c>
      <c r="E423" s="2"/>
      <c r="F423" s="2"/>
      <c r="G423">
        <f>F423 * VLOOKUP("adiwiyata", inject!A:B, 2, FALSE)</f>
        <v>0</v>
      </c>
      <c r="H423" s="2"/>
      <c r="I423" s="2"/>
      <c r="J423">
        <f>I423 * VLOOKUP("proklim", inject!A:B, 2, FALSE)</f>
        <v>0</v>
      </c>
      <c r="K423" s="2"/>
      <c r="L423" s="2"/>
      <c r="M423">
        <f>L423 * VLOOKUP("proper", inject!A:B, 2, FALSE)</f>
        <v>0</v>
      </c>
      <c r="N423" s="2"/>
      <c r="O423" s="2"/>
      <c r="P423">
        <f>O423 * VLOOKUP("kaltaparu", inject!A:B, 2, FALSE)</f>
        <v>0</v>
      </c>
      <c r="Q423" s="2"/>
    </row>
    <row r="424" spans="1:17">
      <c r="A424">
        <v>423</v>
      </c>
      <c r="B424" t="s">
        <v>435</v>
      </c>
      <c r="C424" s="2"/>
      <c r="D424">
        <f>C424 * VLOOKUP("adipura", inject!A:B, 2, FALSE)</f>
        <v>0</v>
      </c>
      <c r="E424" s="2"/>
      <c r="F424" s="2"/>
      <c r="G424">
        <f>F424 * VLOOKUP("adiwiyata", inject!A:B, 2, FALSE)</f>
        <v>0</v>
      </c>
      <c r="H424" s="2"/>
      <c r="I424" s="2"/>
      <c r="J424">
        <f>I424 * VLOOKUP("proklim", inject!A:B, 2, FALSE)</f>
        <v>0</v>
      </c>
      <c r="K424" s="2"/>
      <c r="L424" s="2"/>
      <c r="M424">
        <f>L424 * VLOOKUP("proper", inject!A:B, 2, FALSE)</f>
        <v>0</v>
      </c>
      <c r="N424" s="2"/>
      <c r="O424" s="2"/>
      <c r="P424">
        <f>O424 * VLOOKUP("kaltaparu", inject!A:B, 2, FALSE)</f>
        <v>0</v>
      </c>
      <c r="Q424" s="2"/>
    </row>
    <row r="425" spans="1:17">
      <c r="A425">
        <v>424</v>
      </c>
      <c r="B425" t="s">
        <v>436</v>
      </c>
      <c r="C425" s="2"/>
      <c r="D425">
        <f>C425 * VLOOKUP("adipura", inject!A:B, 2, FALSE)</f>
        <v>0</v>
      </c>
      <c r="E425" s="2"/>
      <c r="F425" s="2"/>
      <c r="G425">
        <f>F425 * VLOOKUP("adiwiyata", inject!A:B, 2, FALSE)</f>
        <v>0</v>
      </c>
      <c r="H425" s="2"/>
      <c r="I425" s="2"/>
      <c r="J425">
        <f>I425 * VLOOKUP("proklim", inject!A:B, 2, FALSE)</f>
        <v>0</v>
      </c>
      <c r="K425" s="2"/>
      <c r="L425" s="2"/>
      <c r="M425">
        <f>L425 * VLOOKUP("proper", inject!A:B, 2, FALSE)</f>
        <v>0</v>
      </c>
      <c r="N425" s="2"/>
      <c r="O425" s="2"/>
      <c r="P425">
        <f>O425 * VLOOKUP("kaltaparu", inject!A:B, 2, FALSE)</f>
        <v>0</v>
      </c>
      <c r="Q425" s="2"/>
    </row>
    <row r="426" spans="1:17">
      <c r="A426">
        <v>425</v>
      </c>
      <c r="B426" t="s">
        <v>437</v>
      </c>
      <c r="C426" s="2"/>
      <c r="D426">
        <f>C426 * VLOOKUP("adipura", inject!A:B, 2, FALSE)</f>
        <v>0</v>
      </c>
      <c r="E426" s="2"/>
      <c r="F426" s="2"/>
      <c r="G426">
        <f>F426 * VLOOKUP("adiwiyata", inject!A:B, 2, FALSE)</f>
        <v>0</v>
      </c>
      <c r="H426" s="2"/>
      <c r="I426" s="2"/>
      <c r="J426">
        <f>I426 * VLOOKUP("proklim", inject!A:B, 2, FALSE)</f>
        <v>0</v>
      </c>
      <c r="K426" s="2"/>
      <c r="L426" s="2"/>
      <c r="M426">
        <f>L426 * VLOOKUP("proper", inject!A:B, 2, FALSE)</f>
        <v>0</v>
      </c>
      <c r="N426" s="2"/>
      <c r="O426" s="2"/>
      <c r="P426">
        <f>O426 * VLOOKUP("kaltaparu", inject!A:B, 2, FALSE)</f>
        <v>0</v>
      </c>
      <c r="Q426" s="2"/>
    </row>
    <row r="427" spans="1:17">
      <c r="A427">
        <v>426</v>
      </c>
      <c r="B427" t="s">
        <v>438</v>
      </c>
      <c r="C427" s="2"/>
      <c r="D427">
        <f>C427 * VLOOKUP("adipura", inject!A:B, 2, FALSE)</f>
        <v>0</v>
      </c>
      <c r="E427" s="2"/>
      <c r="F427" s="2"/>
      <c r="G427">
        <f>F427 * VLOOKUP("adiwiyata", inject!A:B, 2, FALSE)</f>
        <v>0</v>
      </c>
      <c r="H427" s="2"/>
      <c r="I427" s="2"/>
      <c r="J427">
        <f>I427 * VLOOKUP("proklim", inject!A:B, 2, FALSE)</f>
        <v>0</v>
      </c>
      <c r="K427" s="2"/>
      <c r="L427" s="2"/>
      <c r="M427">
        <f>L427 * VLOOKUP("proper", inject!A:B, 2, FALSE)</f>
        <v>0</v>
      </c>
      <c r="N427" s="2"/>
      <c r="O427" s="2"/>
      <c r="P427">
        <f>O427 * VLOOKUP("kaltaparu", inject!A:B, 2, FALSE)</f>
        <v>0</v>
      </c>
      <c r="Q427" s="2"/>
    </row>
    <row r="428" spans="1:17">
      <c r="A428">
        <v>427</v>
      </c>
      <c r="B428" t="s">
        <v>439</v>
      </c>
      <c r="C428" s="2"/>
      <c r="D428">
        <f>C428 * VLOOKUP("adipura", inject!A:B, 2, FALSE)</f>
        <v>0</v>
      </c>
      <c r="E428" s="2"/>
      <c r="F428" s="2"/>
      <c r="G428">
        <f>F428 * VLOOKUP("adiwiyata", inject!A:B, 2, FALSE)</f>
        <v>0</v>
      </c>
      <c r="H428" s="2"/>
      <c r="I428" s="2"/>
      <c r="J428">
        <f>I428 * VLOOKUP("proklim", inject!A:B, 2, FALSE)</f>
        <v>0</v>
      </c>
      <c r="K428" s="2"/>
      <c r="L428" s="2"/>
      <c r="M428">
        <f>L428 * VLOOKUP("proper", inject!A:B, 2, FALSE)</f>
        <v>0</v>
      </c>
      <c r="N428" s="2"/>
      <c r="O428" s="2"/>
      <c r="P428">
        <f>O428 * VLOOKUP("kaltaparu", inject!A:B, 2, FALSE)</f>
        <v>0</v>
      </c>
      <c r="Q428" s="2"/>
    </row>
    <row r="429" spans="1:17">
      <c r="A429">
        <v>428</v>
      </c>
      <c r="B429" t="s">
        <v>440</v>
      </c>
      <c r="C429" s="2"/>
      <c r="D429">
        <f>C429 * VLOOKUP("adipura", inject!A:B, 2, FALSE)</f>
        <v>0</v>
      </c>
      <c r="E429" s="2"/>
      <c r="F429" s="2"/>
      <c r="G429">
        <f>F429 * VLOOKUP("adiwiyata", inject!A:B, 2, FALSE)</f>
        <v>0</v>
      </c>
      <c r="H429" s="2"/>
      <c r="I429" s="2"/>
      <c r="J429">
        <f>I429 * VLOOKUP("proklim", inject!A:B, 2, FALSE)</f>
        <v>0</v>
      </c>
      <c r="K429" s="2"/>
      <c r="L429" s="2"/>
      <c r="M429">
        <f>L429 * VLOOKUP("proper", inject!A:B, 2, FALSE)</f>
        <v>0</v>
      </c>
      <c r="N429" s="2"/>
      <c r="O429" s="2"/>
      <c r="P429">
        <f>O429 * VLOOKUP("kaltaparu", inject!A:B, 2, FALSE)</f>
        <v>0</v>
      </c>
      <c r="Q429" s="2"/>
    </row>
    <row r="430" spans="1:17">
      <c r="A430">
        <v>429</v>
      </c>
      <c r="B430" t="s">
        <v>441</v>
      </c>
      <c r="C430" s="2"/>
      <c r="D430">
        <f>C430 * VLOOKUP("adipura", inject!A:B, 2, FALSE)</f>
        <v>0</v>
      </c>
      <c r="E430" s="2"/>
      <c r="F430" s="2"/>
      <c r="G430">
        <f>F430 * VLOOKUP("adiwiyata", inject!A:B, 2, FALSE)</f>
        <v>0</v>
      </c>
      <c r="H430" s="2"/>
      <c r="I430" s="2"/>
      <c r="J430">
        <f>I430 * VLOOKUP("proklim", inject!A:B, 2, FALSE)</f>
        <v>0</v>
      </c>
      <c r="K430" s="2"/>
      <c r="L430" s="2"/>
      <c r="M430">
        <f>L430 * VLOOKUP("proper", inject!A:B, 2, FALSE)</f>
        <v>0</v>
      </c>
      <c r="N430" s="2"/>
      <c r="O430" s="2"/>
      <c r="P430">
        <f>O430 * VLOOKUP("kaltaparu", inject!A:B, 2, FALSE)</f>
        <v>0</v>
      </c>
      <c r="Q430" s="2"/>
    </row>
    <row r="431" spans="1:17">
      <c r="A431">
        <v>430</v>
      </c>
      <c r="B431" t="s">
        <v>442</v>
      </c>
      <c r="C431" s="2"/>
      <c r="D431">
        <f>C431 * VLOOKUP("adipura", inject!A:B, 2, FALSE)</f>
        <v>0</v>
      </c>
      <c r="E431" s="2"/>
      <c r="F431" s="2"/>
      <c r="G431">
        <f>F431 * VLOOKUP("adiwiyata", inject!A:B, 2, FALSE)</f>
        <v>0</v>
      </c>
      <c r="H431" s="2"/>
      <c r="I431" s="2"/>
      <c r="J431">
        <f>I431 * VLOOKUP("proklim", inject!A:B, 2, FALSE)</f>
        <v>0</v>
      </c>
      <c r="K431" s="2"/>
      <c r="L431" s="2"/>
      <c r="M431">
        <f>L431 * VLOOKUP("proper", inject!A:B, 2, FALSE)</f>
        <v>0</v>
      </c>
      <c r="N431" s="2"/>
      <c r="O431" s="2"/>
      <c r="P431">
        <f>O431 * VLOOKUP("kaltaparu", inject!A:B, 2, FALSE)</f>
        <v>0</v>
      </c>
      <c r="Q431" s="2"/>
    </row>
    <row r="432" spans="1:17">
      <c r="A432">
        <v>431</v>
      </c>
      <c r="B432" t="s">
        <v>443</v>
      </c>
      <c r="C432" s="2"/>
      <c r="D432">
        <f>C432 * VLOOKUP("adipura", inject!A:B, 2, FALSE)</f>
        <v>0</v>
      </c>
      <c r="E432" s="2"/>
      <c r="F432" s="2"/>
      <c r="G432">
        <f>F432 * VLOOKUP("adiwiyata", inject!A:B, 2, FALSE)</f>
        <v>0</v>
      </c>
      <c r="H432" s="2"/>
      <c r="I432" s="2"/>
      <c r="J432">
        <f>I432 * VLOOKUP("proklim", inject!A:B, 2, FALSE)</f>
        <v>0</v>
      </c>
      <c r="K432" s="2"/>
      <c r="L432" s="2"/>
      <c r="M432">
        <f>L432 * VLOOKUP("proper", inject!A:B, 2, FALSE)</f>
        <v>0</v>
      </c>
      <c r="N432" s="2"/>
      <c r="O432" s="2"/>
      <c r="P432">
        <f>O432 * VLOOKUP("kaltaparu", inject!A:B, 2, FALSE)</f>
        <v>0</v>
      </c>
      <c r="Q432" s="2"/>
    </row>
    <row r="433" spans="1:17">
      <c r="A433">
        <v>432</v>
      </c>
      <c r="B433" t="s">
        <v>444</v>
      </c>
      <c r="C433" s="2"/>
      <c r="D433">
        <f>C433 * VLOOKUP("adipura", inject!A:B, 2, FALSE)</f>
        <v>0</v>
      </c>
      <c r="E433" s="2"/>
      <c r="F433" s="2"/>
      <c r="G433">
        <f>F433 * VLOOKUP("adiwiyata", inject!A:B, 2, FALSE)</f>
        <v>0</v>
      </c>
      <c r="H433" s="2"/>
      <c r="I433" s="2"/>
      <c r="J433">
        <f>I433 * VLOOKUP("proklim", inject!A:B, 2, FALSE)</f>
        <v>0</v>
      </c>
      <c r="K433" s="2"/>
      <c r="L433" s="2"/>
      <c r="M433">
        <f>L433 * VLOOKUP("proper", inject!A:B, 2, FALSE)</f>
        <v>0</v>
      </c>
      <c r="N433" s="2"/>
      <c r="O433" s="2"/>
      <c r="P433">
        <f>O433 * VLOOKUP("kaltaparu", inject!A:B, 2, FALSE)</f>
        <v>0</v>
      </c>
      <c r="Q433" s="2"/>
    </row>
    <row r="434" spans="1:17">
      <c r="A434">
        <v>433</v>
      </c>
      <c r="B434" t="s">
        <v>445</v>
      </c>
      <c r="C434" s="2"/>
      <c r="D434">
        <f>C434 * VLOOKUP("adipura", inject!A:B, 2, FALSE)</f>
        <v>0</v>
      </c>
      <c r="E434" s="2"/>
      <c r="F434" s="2"/>
      <c r="G434">
        <f>F434 * VLOOKUP("adiwiyata", inject!A:B, 2, FALSE)</f>
        <v>0</v>
      </c>
      <c r="H434" s="2"/>
      <c r="I434" s="2"/>
      <c r="J434">
        <f>I434 * VLOOKUP("proklim", inject!A:B, 2, FALSE)</f>
        <v>0</v>
      </c>
      <c r="K434" s="2"/>
      <c r="L434" s="2"/>
      <c r="M434">
        <f>L434 * VLOOKUP("proper", inject!A:B, 2, FALSE)</f>
        <v>0</v>
      </c>
      <c r="N434" s="2"/>
      <c r="O434" s="2"/>
      <c r="P434">
        <f>O434 * VLOOKUP("kaltaparu", inject!A:B, 2, FALSE)</f>
        <v>0</v>
      </c>
      <c r="Q434" s="2"/>
    </row>
    <row r="435" spans="1:17">
      <c r="A435">
        <v>434</v>
      </c>
      <c r="B435" t="s">
        <v>446</v>
      </c>
      <c r="C435" s="2"/>
      <c r="D435">
        <f>C435 * VLOOKUP("adipura", inject!A:B, 2, FALSE)</f>
        <v>0</v>
      </c>
      <c r="E435" s="2"/>
      <c r="F435" s="2"/>
      <c r="G435">
        <f>F435 * VLOOKUP("adiwiyata", inject!A:B, 2, FALSE)</f>
        <v>0</v>
      </c>
      <c r="H435" s="2"/>
      <c r="I435" s="2"/>
      <c r="J435">
        <f>I435 * VLOOKUP("proklim", inject!A:B, 2, FALSE)</f>
        <v>0</v>
      </c>
      <c r="K435" s="2"/>
      <c r="L435" s="2"/>
      <c r="M435">
        <f>L435 * VLOOKUP("proper", inject!A:B, 2, FALSE)</f>
        <v>0</v>
      </c>
      <c r="N435" s="2"/>
      <c r="O435" s="2"/>
      <c r="P435">
        <f>O435 * VLOOKUP("kaltaparu", inject!A:B, 2, FALSE)</f>
        <v>0</v>
      </c>
      <c r="Q435" s="2"/>
    </row>
    <row r="436" spans="1:17">
      <c r="A436">
        <v>435</v>
      </c>
      <c r="B436" t="s">
        <v>447</v>
      </c>
      <c r="C436" s="2"/>
      <c r="D436">
        <f>C436 * VLOOKUP("adipura", inject!A:B, 2, FALSE)</f>
        <v>0</v>
      </c>
      <c r="E436" s="2"/>
      <c r="F436" s="2"/>
      <c r="G436">
        <f>F436 * VLOOKUP("adiwiyata", inject!A:B, 2, FALSE)</f>
        <v>0</v>
      </c>
      <c r="H436" s="2"/>
      <c r="I436" s="2"/>
      <c r="J436">
        <f>I436 * VLOOKUP("proklim", inject!A:B, 2, FALSE)</f>
        <v>0</v>
      </c>
      <c r="K436" s="2"/>
      <c r="L436" s="2"/>
      <c r="M436">
        <f>L436 * VLOOKUP("proper", inject!A:B, 2, FALSE)</f>
        <v>0</v>
      </c>
      <c r="N436" s="2"/>
      <c r="O436" s="2"/>
      <c r="P436">
        <f>O436 * VLOOKUP("kaltaparu", inject!A:B, 2, FALSE)</f>
        <v>0</v>
      </c>
      <c r="Q436" s="2"/>
    </row>
    <row r="437" spans="1:17">
      <c r="A437">
        <v>436</v>
      </c>
      <c r="B437" t="s">
        <v>448</v>
      </c>
      <c r="C437" s="2"/>
      <c r="D437">
        <f>C437 * VLOOKUP("adipura", inject!A:B, 2, FALSE)</f>
        <v>0</v>
      </c>
      <c r="E437" s="2"/>
      <c r="F437" s="2"/>
      <c r="G437">
        <f>F437 * VLOOKUP("adiwiyata", inject!A:B, 2, FALSE)</f>
        <v>0</v>
      </c>
      <c r="H437" s="2"/>
      <c r="I437" s="2"/>
      <c r="J437">
        <f>I437 * VLOOKUP("proklim", inject!A:B, 2, FALSE)</f>
        <v>0</v>
      </c>
      <c r="K437" s="2"/>
      <c r="L437" s="2"/>
      <c r="M437">
        <f>L437 * VLOOKUP("proper", inject!A:B, 2, FALSE)</f>
        <v>0</v>
      </c>
      <c r="N437" s="2"/>
      <c r="O437" s="2"/>
      <c r="P437">
        <f>O437 * VLOOKUP("kaltaparu", inject!A:B, 2, FALSE)</f>
        <v>0</v>
      </c>
      <c r="Q437" s="2"/>
    </row>
    <row r="438" spans="1:17">
      <c r="A438">
        <v>437</v>
      </c>
      <c r="B438" t="s">
        <v>449</v>
      </c>
      <c r="C438" s="2"/>
      <c r="D438">
        <f>C438 * VLOOKUP("adipura", inject!A:B, 2, FALSE)</f>
        <v>0</v>
      </c>
      <c r="E438" s="2"/>
      <c r="F438" s="2"/>
      <c r="G438">
        <f>F438 * VLOOKUP("adiwiyata", inject!A:B, 2, FALSE)</f>
        <v>0</v>
      </c>
      <c r="H438" s="2"/>
      <c r="I438" s="2"/>
      <c r="J438">
        <f>I438 * VLOOKUP("proklim", inject!A:B, 2, FALSE)</f>
        <v>0</v>
      </c>
      <c r="K438" s="2"/>
      <c r="L438" s="2"/>
      <c r="M438">
        <f>L438 * VLOOKUP("proper", inject!A:B, 2, FALSE)</f>
        <v>0</v>
      </c>
      <c r="N438" s="2"/>
      <c r="O438" s="2"/>
      <c r="P438">
        <f>O438 * VLOOKUP("kaltaparu", inject!A:B, 2, FALSE)</f>
        <v>0</v>
      </c>
      <c r="Q438" s="2"/>
    </row>
    <row r="439" spans="1:17">
      <c r="A439">
        <v>438</v>
      </c>
      <c r="B439" t="s">
        <v>450</v>
      </c>
      <c r="C439" s="2"/>
      <c r="D439">
        <f>C439 * VLOOKUP("adipura", inject!A:B, 2, FALSE)</f>
        <v>0</v>
      </c>
      <c r="E439" s="2"/>
      <c r="F439" s="2"/>
      <c r="G439">
        <f>F439 * VLOOKUP("adiwiyata", inject!A:B, 2, FALSE)</f>
        <v>0</v>
      </c>
      <c r="H439" s="2"/>
      <c r="I439" s="2"/>
      <c r="J439">
        <f>I439 * VLOOKUP("proklim", inject!A:B, 2, FALSE)</f>
        <v>0</v>
      </c>
      <c r="K439" s="2"/>
      <c r="L439" s="2"/>
      <c r="M439">
        <f>L439 * VLOOKUP("proper", inject!A:B, 2, FALSE)</f>
        <v>0</v>
      </c>
      <c r="N439" s="2"/>
      <c r="O439" s="2"/>
      <c r="P439">
        <f>O439 * VLOOKUP("kaltaparu", inject!A:B, 2, FALSE)</f>
        <v>0</v>
      </c>
      <c r="Q439" s="2"/>
    </row>
    <row r="440" spans="1:17">
      <c r="A440">
        <v>439</v>
      </c>
      <c r="B440" t="s">
        <v>451</v>
      </c>
      <c r="C440" s="2"/>
      <c r="D440">
        <f>C440 * VLOOKUP("adipura", inject!A:B, 2, FALSE)</f>
        <v>0</v>
      </c>
      <c r="E440" s="2"/>
      <c r="F440" s="2"/>
      <c r="G440">
        <f>F440 * VLOOKUP("adiwiyata", inject!A:B, 2, FALSE)</f>
        <v>0</v>
      </c>
      <c r="H440" s="2"/>
      <c r="I440" s="2"/>
      <c r="J440">
        <f>I440 * VLOOKUP("proklim", inject!A:B, 2, FALSE)</f>
        <v>0</v>
      </c>
      <c r="K440" s="2"/>
      <c r="L440" s="2"/>
      <c r="M440">
        <f>L440 * VLOOKUP("proper", inject!A:B, 2, FALSE)</f>
        <v>0</v>
      </c>
      <c r="N440" s="2"/>
      <c r="O440" s="2"/>
      <c r="P440">
        <f>O440 * VLOOKUP("kaltaparu", inject!A:B, 2, FALSE)</f>
        <v>0</v>
      </c>
      <c r="Q440" s="2"/>
    </row>
    <row r="441" spans="1:17">
      <c r="A441">
        <v>440</v>
      </c>
      <c r="B441" t="s">
        <v>452</v>
      </c>
      <c r="C441" s="2"/>
      <c r="D441">
        <f>C441 * VLOOKUP("adipura", inject!A:B, 2, FALSE)</f>
        <v>0</v>
      </c>
      <c r="E441" s="2"/>
      <c r="F441" s="2"/>
      <c r="G441">
        <f>F441 * VLOOKUP("adiwiyata", inject!A:B, 2, FALSE)</f>
        <v>0</v>
      </c>
      <c r="H441" s="2"/>
      <c r="I441" s="2"/>
      <c r="J441">
        <f>I441 * VLOOKUP("proklim", inject!A:B, 2, FALSE)</f>
        <v>0</v>
      </c>
      <c r="K441" s="2"/>
      <c r="L441" s="2"/>
      <c r="M441">
        <f>L441 * VLOOKUP("proper", inject!A:B, 2, FALSE)</f>
        <v>0</v>
      </c>
      <c r="N441" s="2"/>
      <c r="O441" s="2"/>
      <c r="P441">
        <f>O441 * VLOOKUP("kaltaparu", inject!A:B, 2, FALSE)</f>
        <v>0</v>
      </c>
      <c r="Q441" s="2"/>
    </row>
    <row r="442" spans="1:17">
      <c r="A442">
        <v>441</v>
      </c>
      <c r="B442" t="s">
        <v>453</v>
      </c>
      <c r="C442" s="2"/>
      <c r="D442">
        <f>C442 * VLOOKUP("adipura", inject!A:B, 2, FALSE)</f>
        <v>0</v>
      </c>
      <c r="E442" s="2"/>
      <c r="F442" s="2"/>
      <c r="G442">
        <f>F442 * VLOOKUP("adiwiyata", inject!A:B, 2, FALSE)</f>
        <v>0</v>
      </c>
      <c r="H442" s="2"/>
      <c r="I442" s="2"/>
      <c r="J442">
        <f>I442 * VLOOKUP("proklim", inject!A:B, 2, FALSE)</f>
        <v>0</v>
      </c>
      <c r="K442" s="2"/>
      <c r="L442" s="2"/>
      <c r="M442">
        <f>L442 * VLOOKUP("proper", inject!A:B, 2, FALSE)</f>
        <v>0</v>
      </c>
      <c r="N442" s="2"/>
      <c r="O442" s="2"/>
      <c r="P442">
        <f>O442 * VLOOKUP("kaltaparu", inject!A:B, 2, FALSE)</f>
        <v>0</v>
      </c>
      <c r="Q442" s="2"/>
    </row>
    <row r="443" spans="1:17">
      <c r="A443">
        <v>442</v>
      </c>
      <c r="B443" t="s">
        <v>454</v>
      </c>
      <c r="C443" s="2"/>
      <c r="D443">
        <f>C443 * VLOOKUP("adipura", inject!A:B, 2, FALSE)</f>
        <v>0</v>
      </c>
      <c r="E443" s="2"/>
      <c r="F443" s="2"/>
      <c r="G443">
        <f>F443 * VLOOKUP("adiwiyata", inject!A:B, 2, FALSE)</f>
        <v>0</v>
      </c>
      <c r="H443" s="2"/>
      <c r="I443" s="2"/>
      <c r="J443">
        <f>I443 * VLOOKUP("proklim", inject!A:B, 2, FALSE)</f>
        <v>0</v>
      </c>
      <c r="K443" s="2"/>
      <c r="L443" s="2"/>
      <c r="M443">
        <f>L443 * VLOOKUP("proper", inject!A:B, 2, FALSE)</f>
        <v>0</v>
      </c>
      <c r="N443" s="2"/>
      <c r="O443" s="2"/>
      <c r="P443">
        <f>O443 * VLOOKUP("kaltaparu", inject!A:B, 2, FALSE)</f>
        <v>0</v>
      </c>
      <c r="Q443" s="2"/>
    </row>
    <row r="444" spans="1:17">
      <c r="A444">
        <v>443</v>
      </c>
      <c r="B444" t="s">
        <v>455</v>
      </c>
      <c r="C444" s="2"/>
      <c r="D444">
        <f>C444 * VLOOKUP("adipura", inject!A:B, 2, FALSE)</f>
        <v>0</v>
      </c>
      <c r="E444" s="2"/>
      <c r="F444" s="2"/>
      <c r="G444">
        <f>F444 * VLOOKUP("adiwiyata", inject!A:B, 2, FALSE)</f>
        <v>0</v>
      </c>
      <c r="H444" s="2"/>
      <c r="I444" s="2"/>
      <c r="J444">
        <f>I444 * VLOOKUP("proklim", inject!A:B, 2, FALSE)</f>
        <v>0</v>
      </c>
      <c r="K444" s="2"/>
      <c r="L444" s="2"/>
      <c r="M444">
        <f>L444 * VLOOKUP("proper", inject!A:B, 2, FALSE)</f>
        <v>0</v>
      </c>
      <c r="N444" s="2"/>
      <c r="O444" s="2"/>
      <c r="P444">
        <f>O444 * VLOOKUP("kaltaparu", inject!A:B, 2, FALSE)</f>
        <v>0</v>
      </c>
      <c r="Q444" s="2"/>
    </row>
    <row r="445" spans="1:17">
      <c r="A445">
        <v>444</v>
      </c>
      <c r="B445" t="s">
        <v>456</v>
      </c>
      <c r="C445" s="2"/>
      <c r="D445">
        <f>C445 * VLOOKUP("adipura", inject!A:B, 2, FALSE)</f>
        <v>0</v>
      </c>
      <c r="E445" s="2"/>
      <c r="F445" s="2"/>
      <c r="G445">
        <f>F445 * VLOOKUP("adiwiyata", inject!A:B, 2, FALSE)</f>
        <v>0</v>
      </c>
      <c r="H445" s="2"/>
      <c r="I445" s="2"/>
      <c r="J445">
        <f>I445 * VLOOKUP("proklim", inject!A:B, 2, FALSE)</f>
        <v>0</v>
      </c>
      <c r="K445" s="2"/>
      <c r="L445" s="2"/>
      <c r="M445">
        <f>L445 * VLOOKUP("proper", inject!A:B, 2, FALSE)</f>
        <v>0</v>
      </c>
      <c r="N445" s="2"/>
      <c r="O445" s="2"/>
      <c r="P445">
        <f>O445 * VLOOKUP("kaltaparu", inject!A:B, 2, FALSE)</f>
        <v>0</v>
      </c>
      <c r="Q445" s="2"/>
    </row>
    <row r="446" spans="1:17">
      <c r="A446">
        <v>445</v>
      </c>
      <c r="B446" t="s">
        <v>457</v>
      </c>
      <c r="C446" s="2"/>
      <c r="D446">
        <f>C446 * VLOOKUP("adipura", inject!A:B, 2, FALSE)</f>
        <v>0</v>
      </c>
      <c r="E446" s="2"/>
      <c r="F446" s="2"/>
      <c r="G446">
        <f>F446 * VLOOKUP("adiwiyata", inject!A:B, 2, FALSE)</f>
        <v>0</v>
      </c>
      <c r="H446" s="2"/>
      <c r="I446" s="2"/>
      <c r="J446">
        <f>I446 * VLOOKUP("proklim", inject!A:B, 2, FALSE)</f>
        <v>0</v>
      </c>
      <c r="K446" s="2"/>
      <c r="L446" s="2"/>
      <c r="M446">
        <f>L446 * VLOOKUP("proper", inject!A:B, 2, FALSE)</f>
        <v>0</v>
      </c>
      <c r="N446" s="2"/>
      <c r="O446" s="2"/>
      <c r="P446">
        <f>O446 * VLOOKUP("kaltaparu", inject!A:B, 2, FALSE)</f>
        <v>0</v>
      </c>
      <c r="Q446" s="2"/>
    </row>
    <row r="447" spans="1:17">
      <c r="A447">
        <v>446</v>
      </c>
      <c r="B447" t="s">
        <v>458</v>
      </c>
      <c r="C447" s="2"/>
      <c r="D447">
        <f>C447 * VLOOKUP("adipura", inject!A:B, 2, FALSE)</f>
        <v>0</v>
      </c>
      <c r="E447" s="2"/>
      <c r="F447" s="2"/>
      <c r="G447">
        <f>F447 * VLOOKUP("adiwiyata", inject!A:B, 2, FALSE)</f>
        <v>0</v>
      </c>
      <c r="H447" s="2"/>
      <c r="I447" s="2"/>
      <c r="J447">
        <f>I447 * VLOOKUP("proklim", inject!A:B, 2, FALSE)</f>
        <v>0</v>
      </c>
      <c r="K447" s="2"/>
      <c r="L447" s="2"/>
      <c r="M447">
        <f>L447 * VLOOKUP("proper", inject!A:B, 2, FALSE)</f>
        <v>0</v>
      </c>
      <c r="N447" s="2"/>
      <c r="O447" s="2"/>
      <c r="P447">
        <f>O447 * VLOOKUP("kaltaparu", inject!A:B, 2, FALSE)</f>
        <v>0</v>
      </c>
      <c r="Q447" s="2"/>
    </row>
    <row r="448" spans="1:17">
      <c r="A448">
        <v>447</v>
      </c>
      <c r="B448" t="s">
        <v>459</v>
      </c>
      <c r="C448" s="2"/>
      <c r="D448">
        <f>C448 * VLOOKUP("adipura", inject!A:B, 2, FALSE)</f>
        <v>0</v>
      </c>
      <c r="E448" s="2"/>
      <c r="F448" s="2"/>
      <c r="G448">
        <f>F448 * VLOOKUP("adiwiyata", inject!A:B, 2, FALSE)</f>
        <v>0</v>
      </c>
      <c r="H448" s="2"/>
      <c r="I448" s="2"/>
      <c r="J448">
        <f>I448 * VLOOKUP("proklim", inject!A:B, 2, FALSE)</f>
        <v>0</v>
      </c>
      <c r="K448" s="2"/>
      <c r="L448" s="2"/>
      <c r="M448">
        <f>L448 * VLOOKUP("proper", inject!A:B, 2, FALSE)</f>
        <v>0</v>
      </c>
      <c r="N448" s="2"/>
      <c r="O448" s="2"/>
      <c r="P448">
        <f>O448 * VLOOKUP("kaltaparu", inject!A:B, 2, FALSE)</f>
        <v>0</v>
      </c>
      <c r="Q448" s="2"/>
    </row>
    <row r="449" spans="1:17">
      <c r="A449">
        <v>448</v>
      </c>
      <c r="B449" t="s">
        <v>460</v>
      </c>
      <c r="C449" s="2"/>
      <c r="D449">
        <f>C449 * VLOOKUP("adipura", inject!A:B, 2, FALSE)</f>
        <v>0</v>
      </c>
      <c r="E449" s="2"/>
      <c r="F449" s="2"/>
      <c r="G449">
        <f>F449 * VLOOKUP("adiwiyata", inject!A:B, 2, FALSE)</f>
        <v>0</v>
      </c>
      <c r="H449" s="2"/>
      <c r="I449" s="2"/>
      <c r="J449">
        <f>I449 * VLOOKUP("proklim", inject!A:B, 2, FALSE)</f>
        <v>0</v>
      </c>
      <c r="K449" s="2"/>
      <c r="L449" s="2"/>
      <c r="M449">
        <f>L449 * VLOOKUP("proper", inject!A:B, 2, FALSE)</f>
        <v>0</v>
      </c>
      <c r="N449" s="2"/>
      <c r="O449" s="2"/>
      <c r="P449">
        <f>O449 * VLOOKUP("kaltaparu", inject!A:B, 2, FALSE)</f>
        <v>0</v>
      </c>
      <c r="Q449" s="2"/>
    </row>
    <row r="450" spans="1:17">
      <c r="A450">
        <v>449</v>
      </c>
      <c r="B450" t="s">
        <v>461</v>
      </c>
      <c r="C450" s="2"/>
      <c r="D450">
        <f>C450 * VLOOKUP("adipura", inject!A:B, 2, FALSE)</f>
        <v>0</v>
      </c>
      <c r="E450" s="2"/>
      <c r="F450" s="2"/>
      <c r="G450">
        <f>F450 * VLOOKUP("adiwiyata", inject!A:B, 2, FALSE)</f>
        <v>0</v>
      </c>
      <c r="H450" s="2"/>
      <c r="I450" s="2"/>
      <c r="J450">
        <f>I450 * VLOOKUP("proklim", inject!A:B, 2, FALSE)</f>
        <v>0</v>
      </c>
      <c r="K450" s="2"/>
      <c r="L450" s="2"/>
      <c r="M450">
        <f>L450 * VLOOKUP("proper", inject!A:B, 2, FALSE)</f>
        <v>0</v>
      </c>
      <c r="N450" s="2"/>
      <c r="O450" s="2"/>
      <c r="P450">
        <f>O450 * VLOOKUP("kaltaparu", inject!A:B, 2, FALSE)</f>
        <v>0</v>
      </c>
      <c r="Q450" s="2"/>
    </row>
    <row r="451" spans="1:17">
      <c r="A451">
        <v>450</v>
      </c>
      <c r="B451" t="s">
        <v>462</v>
      </c>
      <c r="C451" s="2"/>
      <c r="D451">
        <f>C451 * VLOOKUP("adipura", inject!A:B, 2, FALSE)</f>
        <v>0</v>
      </c>
      <c r="E451" s="2"/>
      <c r="F451" s="2"/>
      <c r="G451">
        <f>F451 * VLOOKUP("adiwiyata", inject!A:B, 2, FALSE)</f>
        <v>0</v>
      </c>
      <c r="H451" s="2"/>
      <c r="I451" s="2"/>
      <c r="J451">
        <f>I451 * VLOOKUP("proklim", inject!A:B, 2, FALSE)</f>
        <v>0</v>
      </c>
      <c r="K451" s="2"/>
      <c r="L451" s="2"/>
      <c r="M451">
        <f>L451 * VLOOKUP("proper", inject!A:B, 2, FALSE)</f>
        <v>0</v>
      </c>
      <c r="N451" s="2"/>
      <c r="O451" s="2"/>
      <c r="P451">
        <f>O451 * VLOOKUP("kaltaparu", inject!A:B, 2, FALSE)</f>
        <v>0</v>
      </c>
      <c r="Q451" s="2"/>
    </row>
    <row r="452" spans="1:17">
      <c r="A452">
        <v>451</v>
      </c>
      <c r="B452" t="s">
        <v>463</v>
      </c>
      <c r="C452" s="2"/>
      <c r="D452">
        <f>C452 * VLOOKUP("adipura", inject!A:B, 2, FALSE)</f>
        <v>0</v>
      </c>
      <c r="E452" s="2"/>
      <c r="F452" s="2"/>
      <c r="G452">
        <f>F452 * VLOOKUP("adiwiyata", inject!A:B, 2, FALSE)</f>
        <v>0</v>
      </c>
      <c r="H452" s="2"/>
      <c r="I452" s="2"/>
      <c r="J452">
        <f>I452 * VLOOKUP("proklim", inject!A:B, 2, FALSE)</f>
        <v>0</v>
      </c>
      <c r="K452" s="2"/>
      <c r="L452" s="2"/>
      <c r="M452">
        <f>L452 * VLOOKUP("proper", inject!A:B, 2, FALSE)</f>
        <v>0</v>
      </c>
      <c r="N452" s="2"/>
      <c r="O452" s="2"/>
      <c r="P452">
        <f>O452 * VLOOKUP("kaltaparu", inject!A:B, 2, FALSE)</f>
        <v>0</v>
      </c>
      <c r="Q452" s="2"/>
    </row>
    <row r="453" spans="1:17">
      <c r="A453">
        <v>452</v>
      </c>
      <c r="B453" t="s">
        <v>464</v>
      </c>
      <c r="C453" s="2"/>
      <c r="D453">
        <f>C453 * VLOOKUP("adipura", inject!A:B, 2, FALSE)</f>
        <v>0</v>
      </c>
      <c r="E453" s="2"/>
      <c r="F453" s="2"/>
      <c r="G453">
        <f>F453 * VLOOKUP("adiwiyata", inject!A:B, 2, FALSE)</f>
        <v>0</v>
      </c>
      <c r="H453" s="2"/>
      <c r="I453" s="2"/>
      <c r="J453">
        <f>I453 * VLOOKUP("proklim", inject!A:B, 2, FALSE)</f>
        <v>0</v>
      </c>
      <c r="K453" s="2"/>
      <c r="L453" s="2"/>
      <c r="M453">
        <f>L453 * VLOOKUP("proper", inject!A:B, 2, FALSE)</f>
        <v>0</v>
      </c>
      <c r="N453" s="2"/>
      <c r="O453" s="2"/>
      <c r="P453">
        <f>O453 * VLOOKUP("kaltaparu", inject!A:B, 2, FALSE)</f>
        <v>0</v>
      </c>
      <c r="Q453" s="2"/>
    </row>
    <row r="454" spans="1:17">
      <c r="A454">
        <v>453</v>
      </c>
      <c r="B454" t="s">
        <v>465</v>
      </c>
      <c r="C454" s="2"/>
      <c r="D454">
        <f>C454 * VLOOKUP("adipura", inject!A:B, 2, FALSE)</f>
        <v>0</v>
      </c>
      <c r="E454" s="2"/>
      <c r="F454" s="2"/>
      <c r="G454">
        <f>F454 * VLOOKUP("adiwiyata", inject!A:B, 2, FALSE)</f>
        <v>0</v>
      </c>
      <c r="H454" s="2"/>
      <c r="I454" s="2"/>
      <c r="J454">
        <f>I454 * VLOOKUP("proklim", inject!A:B, 2, FALSE)</f>
        <v>0</v>
      </c>
      <c r="K454" s="2"/>
      <c r="L454" s="2"/>
      <c r="M454">
        <f>L454 * VLOOKUP("proper", inject!A:B, 2, FALSE)</f>
        <v>0</v>
      </c>
      <c r="N454" s="2"/>
      <c r="O454" s="2"/>
      <c r="P454">
        <f>O454 * VLOOKUP("kaltaparu", inject!A:B, 2, FALSE)</f>
        <v>0</v>
      </c>
      <c r="Q454" s="2"/>
    </row>
    <row r="455" spans="1:17">
      <c r="A455">
        <v>454</v>
      </c>
      <c r="B455" t="s">
        <v>466</v>
      </c>
      <c r="C455" s="2"/>
      <c r="D455">
        <f>C455 * VLOOKUP("adipura", inject!A:B, 2, FALSE)</f>
        <v>0</v>
      </c>
      <c r="E455" s="2"/>
      <c r="F455" s="2"/>
      <c r="G455">
        <f>F455 * VLOOKUP("adiwiyata", inject!A:B, 2, FALSE)</f>
        <v>0</v>
      </c>
      <c r="H455" s="2"/>
      <c r="I455" s="2"/>
      <c r="J455">
        <f>I455 * VLOOKUP("proklim", inject!A:B, 2, FALSE)</f>
        <v>0</v>
      </c>
      <c r="K455" s="2"/>
      <c r="L455" s="2"/>
      <c r="M455">
        <f>L455 * VLOOKUP("proper", inject!A:B, 2, FALSE)</f>
        <v>0</v>
      </c>
      <c r="N455" s="2"/>
      <c r="O455" s="2"/>
      <c r="P455">
        <f>O455 * VLOOKUP("kaltaparu", inject!A:B, 2, FALSE)</f>
        <v>0</v>
      </c>
      <c r="Q455" s="2"/>
    </row>
    <row r="456" spans="1:17">
      <c r="A456">
        <v>455</v>
      </c>
      <c r="B456" t="s">
        <v>467</v>
      </c>
      <c r="C456" s="2"/>
      <c r="D456">
        <f>C456 * VLOOKUP("adipura", inject!A:B, 2, FALSE)</f>
        <v>0</v>
      </c>
      <c r="E456" s="2"/>
      <c r="F456" s="2"/>
      <c r="G456">
        <f>F456 * VLOOKUP("adiwiyata", inject!A:B, 2, FALSE)</f>
        <v>0</v>
      </c>
      <c r="H456" s="2"/>
      <c r="I456" s="2"/>
      <c r="J456">
        <f>I456 * VLOOKUP("proklim", inject!A:B, 2, FALSE)</f>
        <v>0</v>
      </c>
      <c r="K456" s="2"/>
      <c r="L456" s="2"/>
      <c r="M456">
        <f>L456 * VLOOKUP("proper", inject!A:B, 2, FALSE)</f>
        <v>0</v>
      </c>
      <c r="N456" s="2"/>
      <c r="O456" s="2"/>
      <c r="P456">
        <f>O456 * VLOOKUP("kaltaparu", inject!A:B, 2, FALSE)</f>
        <v>0</v>
      </c>
      <c r="Q456" s="2"/>
    </row>
    <row r="457" spans="1:17">
      <c r="A457">
        <v>456</v>
      </c>
      <c r="B457" t="s">
        <v>468</v>
      </c>
      <c r="C457" s="2"/>
      <c r="D457">
        <f>C457 * VLOOKUP("adipura", inject!A:B, 2, FALSE)</f>
        <v>0</v>
      </c>
      <c r="E457" s="2"/>
      <c r="F457" s="2"/>
      <c r="G457">
        <f>F457 * VLOOKUP("adiwiyata", inject!A:B, 2, FALSE)</f>
        <v>0</v>
      </c>
      <c r="H457" s="2"/>
      <c r="I457" s="2"/>
      <c r="J457">
        <f>I457 * VLOOKUP("proklim", inject!A:B, 2, FALSE)</f>
        <v>0</v>
      </c>
      <c r="K457" s="2"/>
      <c r="L457" s="2"/>
      <c r="M457">
        <f>L457 * VLOOKUP("proper", inject!A:B, 2, FALSE)</f>
        <v>0</v>
      </c>
      <c r="N457" s="2"/>
      <c r="O457" s="2"/>
      <c r="P457">
        <f>O457 * VLOOKUP("kaltaparu", inject!A:B, 2, FALSE)</f>
        <v>0</v>
      </c>
      <c r="Q457" s="2"/>
    </row>
    <row r="458" spans="1:17">
      <c r="A458">
        <v>457</v>
      </c>
      <c r="B458" t="s">
        <v>469</v>
      </c>
      <c r="C458" s="2"/>
      <c r="D458">
        <f>C458 * VLOOKUP("adipura", inject!A:B, 2, FALSE)</f>
        <v>0</v>
      </c>
      <c r="E458" s="2"/>
      <c r="F458" s="2"/>
      <c r="G458">
        <f>F458 * VLOOKUP("adiwiyata", inject!A:B, 2, FALSE)</f>
        <v>0</v>
      </c>
      <c r="H458" s="2"/>
      <c r="I458" s="2"/>
      <c r="J458">
        <f>I458 * VLOOKUP("proklim", inject!A:B, 2, FALSE)</f>
        <v>0</v>
      </c>
      <c r="K458" s="2"/>
      <c r="L458" s="2"/>
      <c r="M458">
        <f>L458 * VLOOKUP("proper", inject!A:B, 2, FALSE)</f>
        <v>0</v>
      </c>
      <c r="N458" s="2"/>
      <c r="O458" s="2"/>
      <c r="P458">
        <f>O458 * VLOOKUP("kaltaparu", inject!A:B, 2, FALSE)</f>
        <v>0</v>
      </c>
      <c r="Q458" s="2"/>
    </row>
    <row r="459" spans="1:17">
      <c r="A459">
        <v>458</v>
      </c>
      <c r="B459" t="s">
        <v>470</v>
      </c>
      <c r="C459" s="2"/>
      <c r="D459">
        <f>C459 * VLOOKUP("adipura", inject!A:B, 2, FALSE)</f>
        <v>0</v>
      </c>
      <c r="E459" s="2"/>
      <c r="F459" s="2"/>
      <c r="G459">
        <f>F459 * VLOOKUP("adiwiyata", inject!A:B, 2, FALSE)</f>
        <v>0</v>
      </c>
      <c r="H459" s="2"/>
      <c r="I459" s="2"/>
      <c r="J459">
        <f>I459 * VLOOKUP("proklim", inject!A:B, 2, FALSE)</f>
        <v>0</v>
      </c>
      <c r="K459" s="2"/>
      <c r="L459" s="2"/>
      <c r="M459">
        <f>L459 * VLOOKUP("proper", inject!A:B, 2, FALSE)</f>
        <v>0</v>
      </c>
      <c r="N459" s="2"/>
      <c r="O459" s="2"/>
      <c r="P459">
        <f>O459 * VLOOKUP("kaltaparu", inject!A:B, 2, FALSE)</f>
        <v>0</v>
      </c>
      <c r="Q459" s="2"/>
    </row>
    <row r="460" spans="1:17">
      <c r="A460">
        <v>459</v>
      </c>
      <c r="B460" t="s">
        <v>471</v>
      </c>
      <c r="C460" s="2"/>
      <c r="D460">
        <f>C460 * VLOOKUP("adipura", inject!A:B, 2, FALSE)</f>
        <v>0</v>
      </c>
      <c r="E460" s="2"/>
      <c r="F460" s="2"/>
      <c r="G460">
        <f>F460 * VLOOKUP("adiwiyata", inject!A:B, 2, FALSE)</f>
        <v>0</v>
      </c>
      <c r="H460" s="2"/>
      <c r="I460" s="2"/>
      <c r="J460">
        <f>I460 * VLOOKUP("proklim", inject!A:B, 2, FALSE)</f>
        <v>0</v>
      </c>
      <c r="K460" s="2"/>
      <c r="L460" s="2"/>
      <c r="M460">
        <f>L460 * VLOOKUP("proper", inject!A:B, 2, FALSE)</f>
        <v>0</v>
      </c>
      <c r="N460" s="2"/>
      <c r="O460" s="2"/>
      <c r="P460">
        <f>O460 * VLOOKUP("kaltaparu", inject!A:B, 2, FALSE)</f>
        <v>0</v>
      </c>
      <c r="Q460" s="2"/>
    </row>
    <row r="461" spans="1:17">
      <c r="A461">
        <v>460</v>
      </c>
      <c r="B461" t="s">
        <v>472</v>
      </c>
      <c r="C461" s="2"/>
      <c r="D461">
        <f>C461 * VLOOKUP("adipura", inject!A:B, 2, FALSE)</f>
        <v>0</v>
      </c>
      <c r="E461" s="2"/>
      <c r="F461" s="2"/>
      <c r="G461">
        <f>F461 * VLOOKUP("adiwiyata", inject!A:B, 2, FALSE)</f>
        <v>0</v>
      </c>
      <c r="H461" s="2"/>
      <c r="I461" s="2"/>
      <c r="J461">
        <f>I461 * VLOOKUP("proklim", inject!A:B, 2, FALSE)</f>
        <v>0</v>
      </c>
      <c r="K461" s="2"/>
      <c r="L461" s="2"/>
      <c r="M461">
        <f>L461 * VLOOKUP("proper", inject!A:B, 2, FALSE)</f>
        <v>0</v>
      </c>
      <c r="N461" s="2"/>
      <c r="O461" s="2"/>
      <c r="P461">
        <f>O461 * VLOOKUP("kaltaparu", inject!A:B, 2, FALSE)</f>
        <v>0</v>
      </c>
      <c r="Q461" s="2"/>
    </row>
    <row r="462" spans="1:17">
      <c r="A462">
        <v>461</v>
      </c>
      <c r="B462" t="s">
        <v>473</v>
      </c>
      <c r="C462" s="2"/>
      <c r="D462">
        <f>C462 * VLOOKUP("adipura", inject!A:B, 2, FALSE)</f>
        <v>0</v>
      </c>
      <c r="E462" s="2"/>
      <c r="F462" s="2"/>
      <c r="G462">
        <f>F462 * VLOOKUP("adiwiyata", inject!A:B, 2, FALSE)</f>
        <v>0</v>
      </c>
      <c r="H462" s="2"/>
      <c r="I462" s="2"/>
      <c r="J462">
        <f>I462 * VLOOKUP("proklim", inject!A:B, 2, FALSE)</f>
        <v>0</v>
      </c>
      <c r="K462" s="2"/>
      <c r="L462" s="2"/>
      <c r="M462">
        <f>L462 * VLOOKUP("proper", inject!A:B, 2, FALSE)</f>
        <v>0</v>
      </c>
      <c r="N462" s="2"/>
      <c r="O462" s="2"/>
      <c r="P462">
        <f>O462 * VLOOKUP("kaltaparu", inject!A:B, 2, FALSE)</f>
        <v>0</v>
      </c>
      <c r="Q462" s="2"/>
    </row>
    <row r="463" spans="1:17">
      <c r="A463">
        <v>462</v>
      </c>
      <c r="B463" t="s">
        <v>474</v>
      </c>
      <c r="C463" s="2"/>
      <c r="D463">
        <f>C463 * VLOOKUP("adipura", inject!A:B, 2, FALSE)</f>
        <v>0</v>
      </c>
      <c r="E463" s="2"/>
      <c r="F463" s="2"/>
      <c r="G463">
        <f>F463 * VLOOKUP("adiwiyata", inject!A:B, 2, FALSE)</f>
        <v>0</v>
      </c>
      <c r="H463" s="2"/>
      <c r="I463" s="2"/>
      <c r="J463">
        <f>I463 * VLOOKUP("proklim", inject!A:B, 2, FALSE)</f>
        <v>0</v>
      </c>
      <c r="K463" s="2"/>
      <c r="L463" s="2"/>
      <c r="M463">
        <f>L463 * VLOOKUP("proper", inject!A:B, 2, FALSE)</f>
        <v>0</v>
      </c>
      <c r="N463" s="2"/>
      <c r="O463" s="2"/>
      <c r="P463">
        <f>O463 * VLOOKUP("kaltaparu", inject!A:B, 2, FALSE)</f>
        <v>0</v>
      </c>
      <c r="Q463" s="2"/>
    </row>
    <row r="464" spans="1:17">
      <c r="A464">
        <v>463</v>
      </c>
      <c r="B464" t="s">
        <v>475</v>
      </c>
      <c r="C464" s="2"/>
      <c r="D464">
        <f>C464 * VLOOKUP("adipura", inject!A:B, 2, FALSE)</f>
        <v>0</v>
      </c>
      <c r="E464" s="2"/>
      <c r="F464" s="2"/>
      <c r="G464">
        <f>F464 * VLOOKUP("adiwiyata", inject!A:B, 2, FALSE)</f>
        <v>0</v>
      </c>
      <c r="H464" s="2"/>
      <c r="I464" s="2"/>
      <c r="J464">
        <f>I464 * VLOOKUP("proklim", inject!A:B, 2, FALSE)</f>
        <v>0</v>
      </c>
      <c r="K464" s="2"/>
      <c r="L464" s="2"/>
      <c r="M464">
        <f>L464 * VLOOKUP("proper", inject!A:B, 2, FALSE)</f>
        <v>0</v>
      </c>
      <c r="N464" s="2"/>
      <c r="O464" s="2"/>
      <c r="P464">
        <f>O464 * VLOOKUP("kaltaparu", inject!A:B, 2, FALSE)</f>
        <v>0</v>
      </c>
      <c r="Q464" s="2"/>
    </row>
    <row r="465" spans="1:17">
      <c r="A465">
        <v>464</v>
      </c>
      <c r="B465" t="s">
        <v>476</v>
      </c>
      <c r="C465" s="2"/>
      <c r="D465">
        <f>C465 * VLOOKUP("adipura", inject!A:B, 2, FALSE)</f>
        <v>0</v>
      </c>
      <c r="E465" s="2"/>
      <c r="F465" s="2"/>
      <c r="G465">
        <f>F465 * VLOOKUP("adiwiyata", inject!A:B, 2, FALSE)</f>
        <v>0</v>
      </c>
      <c r="H465" s="2"/>
      <c r="I465" s="2"/>
      <c r="J465">
        <f>I465 * VLOOKUP("proklim", inject!A:B, 2, FALSE)</f>
        <v>0</v>
      </c>
      <c r="K465" s="2"/>
      <c r="L465" s="2"/>
      <c r="M465">
        <f>L465 * VLOOKUP("proper", inject!A:B, 2, FALSE)</f>
        <v>0</v>
      </c>
      <c r="N465" s="2"/>
      <c r="O465" s="2"/>
      <c r="P465">
        <f>O465 * VLOOKUP("kaltaparu", inject!A:B, 2, FALSE)</f>
        <v>0</v>
      </c>
      <c r="Q465" s="2"/>
    </row>
    <row r="466" spans="1:17">
      <c r="A466">
        <v>465</v>
      </c>
      <c r="B466" t="s">
        <v>477</v>
      </c>
      <c r="C466" s="2"/>
      <c r="D466">
        <f>C466 * VLOOKUP("adipura", inject!A:B, 2, FALSE)</f>
        <v>0</v>
      </c>
      <c r="E466" s="2"/>
      <c r="F466" s="2"/>
      <c r="G466">
        <f>F466 * VLOOKUP("adiwiyata", inject!A:B, 2, FALSE)</f>
        <v>0</v>
      </c>
      <c r="H466" s="2"/>
      <c r="I466" s="2"/>
      <c r="J466">
        <f>I466 * VLOOKUP("proklim", inject!A:B, 2, FALSE)</f>
        <v>0</v>
      </c>
      <c r="K466" s="2"/>
      <c r="L466" s="2"/>
      <c r="M466">
        <f>L466 * VLOOKUP("proper", inject!A:B, 2, FALSE)</f>
        <v>0</v>
      </c>
      <c r="N466" s="2"/>
      <c r="O466" s="2"/>
      <c r="P466">
        <f>O466 * VLOOKUP("kaltaparu", inject!A:B, 2, FALSE)</f>
        <v>0</v>
      </c>
      <c r="Q466" s="2"/>
    </row>
    <row r="467" spans="1:17">
      <c r="A467">
        <v>466</v>
      </c>
      <c r="B467" t="s">
        <v>478</v>
      </c>
      <c r="C467" s="2"/>
      <c r="D467">
        <f>C467 * VLOOKUP("adipura", inject!A:B, 2, FALSE)</f>
        <v>0</v>
      </c>
      <c r="E467" s="2"/>
      <c r="F467" s="2"/>
      <c r="G467">
        <f>F467 * VLOOKUP("adiwiyata", inject!A:B, 2, FALSE)</f>
        <v>0</v>
      </c>
      <c r="H467" s="2"/>
      <c r="I467" s="2"/>
      <c r="J467">
        <f>I467 * VLOOKUP("proklim", inject!A:B, 2, FALSE)</f>
        <v>0</v>
      </c>
      <c r="K467" s="2"/>
      <c r="L467" s="2"/>
      <c r="M467">
        <f>L467 * VLOOKUP("proper", inject!A:B, 2, FALSE)</f>
        <v>0</v>
      </c>
      <c r="N467" s="2"/>
      <c r="O467" s="2"/>
      <c r="P467">
        <f>O467 * VLOOKUP("kaltaparu", inject!A:B, 2, FALSE)</f>
        <v>0</v>
      </c>
      <c r="Q467" s="2"/>
    </row>
    <row r="468" spans="1:17">
      <c r="A468">
        <v>467</v>
      </c>
      <c r="B468" t="s">
        <v>479</v>
      </c>
      <c r="C468" s="2"/>
      <c r="D468">
        <f>C468 * VLOOKUP("adipura", inject!A:B, 2, FALSE)</f>
        <v>0</v>
      </c>
      <c r="E468" s="2"/>
      <c r="F468" s="2"/>
      <c r="G468">
        <f>F468 * VLOOKUP("adiwiyata", inject!A:B, 2, FALSE)</f>
        <v>0</v>
      </c>
      <c r="H468" s="2"/>
      <c r="I468" s="2"/>
      <c r="J468">
        <f>I468 * VLOOKUP("proklim", inject!A:B, 2, FALSE)</f>
        <v>0</v>
      </c>
      <c r="K468" s="2"/>
      <c r="L468" s="2"/>
      <c r="M468">
        <f>L468 * VLOOKUP("proper", inject!A:B, 2, FALSE)</f>
        <v>0</v>
      </c>
      <c r="N468" s="2"/>
      <c r="O468" s="2"/>
      <c r="P468">
        <f>O468 * VLOOKUP("kaltaparu", inject!A:B, 2, FALSE)</f>
        <v>0</v>
      </c>
      <c r="Q468" s="2"/>
    </row>
    <row r="469" spans="1:17">
      <c r="A469">
        <v>468</v>
      </c>
      <c r="B469" t="s">
        <v>480</v>
      </c>
      <c r="C469" s="2"/>
      <c r="D469">
        <f>C469 * VLOOKUP("adipura", inject!A:B, 2, FALSE)</f>
        <v>0</v>
      </c>
      <c r="E469" s="2"/>
      <c r="F469" s="2"/>
      <c r="G469">
        <f>F469 * VLOOKUP("adiwiyata", inject!A:B, 2, FALSE)</f>
        <v>0</v>
      </c>
      <c r="H469" s="2"/>
      <c r="I469" s="2"/>
      <c r="J469">
        <f>I469 * VLOOKUP("proklim", inject!A:B, 2, FALSE)</f>
        <v>0</v>
      </c>
      <c r="K469" s="2"/>
      <c r="L469" s="2"/>
      <c r="M469">
        <f>L469 * VLOOKUP("proper", inject!A:B, 2, FALSE)</f>
        <v>0</v>
      </c>
      <c r="N469" s="2"/>
      <c r="O469" s="2"/>
      <c r="P469">
        <f>O469 * VLOOKUP("kaltaparu", inject!A:B, 2, FALSE)</f>
        <v>0</v>
      </c>
      <c r="Q469" s="2"/>
    </row>
    <row r="470" spans="1:17">
      <c r="A470">
        <v>469</v>
      </c>
      <c r="B470" t="s">
        <v>481</v>
      </c>
      <c r="C470" s="2"/>
      <c r="D470">
        <f>C470 * VLOOKUP("adipura", inject!A:B, 2, FALSE)</f>
        <v>0</v>
      </c>
      <c r="E470" s="2"/>
      <c r="F470" s="2"/>
      <c r="G470">
        <f>F470 * VLOOKUP("adiwiyata", inject!A:B, 2, FALSE)</f>
        <v>0</v>
      </c>
      <c r="H470" s="2"/>
      <c r="I470" s="2"/>
      <c r="J470">
        <f>I470 * VLOOKUP("proklim", inject!A:B, 2, FALSE)</f>
        <v>0</v>
      </c>
      <c r="K470" s="2"/>
      <c r="L470" s="2"/>
      <c r="M470">
        <f>L470 * VLOOKUP("proper", inject!A:B, 2, FALSE)</f>
        <v>0</v>
      </c>
      <c r="N470" s="2"/>
      <c r="O470" s="2"/>
      <c r="P470">
        <f>O470 * VLOOKUP("kaltaparu", inject!A:B, 2, FALSE)</f>
        <v>0</v>
      </c>
      <c r="Q470" s="2"/>
    </row>
    <row r="471" spans="1:17">
      <c r="A471">
        <v>470</v>
      </c>
      <c r="B471" t="s">
        <v>482</v>
      </c>
      <c r="C471" s="2"/>
      <c r="D471">
        <f>C471 * VLOOKUP("adipura", inject!A:B, 2, FALSE)</f>
        <v>0</v>
      </c>
      <c r="E471" s="2"/>
      <c r="F471" s="2"/>
      <c r="G471">
        <f>F471 * VLOOKUP("adiwiyata", inject!A:B, 2, FALSE)</f>
        <v>0</v>
      </c>
      <c r="H471" s="2"/>
      <c r="I471" s="2"/>
      <c r="J471">
        <f>I471 * VLOOKUP("proklim", inject!A:B, 2, FALSE)</f>
        <v>0</v>
      </c>
      <c r="K471" s="2"/>
      <c r="L471" s="2"/>
      <c r="M471">
        <f>L471 * VLOOKUP("proper", inject!A:B, 2, FALSE)</f>
        <v>0</v>
      </c>
      <c r="N471" s="2"/>
      <c r="O471" s="2"/>
      <c r="P471">
        <f>O471 * VLOOKUP("kaltaparu", inject!A:B, 2, FALSE)</f>
        <v>0</v>
      </c>
      <c r="Q471" s="2"/>
    </row>
    <row r="472" spans="1:17">
      <c r="A472">
        <v>471</v>
      </c>
      <c r="B472" t="s">
        <v>483</v>
      </c>
      <c r="C472" s="2"/>
      <c r="D472">
        <f>C472 * VLOOKUP("adipura", inject!A:B, 2, FALSE)</f>
        <v>0</v>
      </c>
      <c r="E472" s="2"/>
      <c r="F472" s="2"/>
      <c r="G472">
        <f>F472 * VLOOKUP("adiwiyata", inject!A:B, 2, FALSE)</f>
        <v>0</v>
      </c>
      <c r="H472" s="2"/>
      <c r="I472" s="2"/>
      <c r="J472">
        <f>I472 * VLOOKUP("proklim", inject!A:B, 2, FALSE)</f>
        <v>0</v>
      </c>
      <c r="K472" s="2"/>
      <c r="L472" s="2"/>
      <c r="M472">
        <f>L472 * VLOOKUP("proper", inject!A:B, 2, FALSE)</f>
        <v>0</v>
      </c>
      <c r="N472" s="2"/>
      <c r="O472" s="2"/>
      <c r="P472">
        <f>O472 * VLOOKUP("kaltaparu", inject!A:B, 2, FALSE)</f>
        <v>0</v>
      </c>
      <c r="Q472" s="2"/>
    </row>
    <row r="473" spans="1:17">
      <c r="A473">
        <v>472</v>
      </c>
      <c r="B473" t="s">
        <v>484</v>
      </c>
      <c r="C473" s="2"/>
      <c r="D473">
        <f>C473 * VLOOKUP("adipura", inject!A:B, 2, FALSE)</f>
        <v>0</v>
      </c>
      <c r="E473" s="2"/>
      <c r="F473" s="2"/>
      <c r="G473">
        <f>F473 * VLOOKUP("adiwiyata", inject!A:B, 2, FALSE)</f>
        <v>0</v>
      </c>
      <c r="H473" s="2"/>
      <c r="I473" s="2"/>
      <c r="J473">
        <f>I473 * VLOOKUP("proklim", inject!A:B, 2, FALSE)</f>
        <v>0</v>
      </c>
      <c r="K473" s="2"/>
      <c r="L473" s="2"/>
      <c r="M473">
        <f>L473 * VLOOKUP("proper", inject!A:B, 2, FALSE)</f>
        <v>0</v>
      </c>
      <c r="N473" s="2"/>
      <c r="O473" s="2"/>
      <c r="P473">
        <f>O473 * VLOOKUP("kaltaparu", inject!A:B, 2, FALSE)</f>
        <v>0</v>
      </c>
      <c r="Q473" s="2"/>
    </row>
    <row r="474" spans="1:17">
      <c r="A474">
        <v>473</v>
      </c>
      <c r="B474" t="s">
        <v>485</v>
      </c>
      <c r="C474" s="2"/>
      <c r="D474">
        <f>C474 * VLOOKUP("adipura", inject!A:B, 2, FALSE)</f>
        <v>0</v>
      </c>
      <c r="E474" s="2"/>
      <c r="F474" s="2"/>
      <c r="G474">
        <f>F474 * VLOOKUP("adiwiyata", inject!A:B, 2, FALSE)</f>
        <v>0</v>
      </c>
      <c r="H474" s="2"/>
      <c r="I474" s="2"/>
      <c r="J474">
        <f>I474 * VLOOKUP("proklim", inject!A:B, 2, FALSE)</f>
        <v>0</v>
      </c>
      <c r="K474" s="2"/>
      <c r="L474" s="2"/>
      <c r="M474">
        <f>L474 * VLOOKUP("proper", inject!A:B, 2, FALSE)</f>
        <v>0</v>
      </c>
      <c r="N474" s="2"/>
      <c r="O474" s="2"/>
      <c r="P474">
        <f>O474 * VLOOKUP("kaltaparu", inject!A:B, 2, FALSE)</f>
        <v>0</v>
      </c>
      <c r="Q474" s="2"/>
    </row>
    <row r="475" spans="1:17">
      <c r="A475">
        <v>474</v>
      </c>
      <c r="B475" t="s">
        <v>486</v>
      </c>
      <c r="C475" s="2"/>
      <c r="D475">
        <f>C475 * VLOOKUP("adipura", inject!A:B, 2, FALSE)</f>
        <v>0</v>
      </c>
      <c r="E475" s="2"/>
      <c r="F475" s="2"/>
      <c r="G475">
        <f>F475 * VLOOKUP("adiwiyata", inject!A:B, 2, FALSE)</f>
        <v>0</v>
      </c>
      <c r="H475" s="2"/>
      <c r="I475" s="2"/>
      <c r="J475">
        <f>I475 * VLOOKUP("proklim", inject!A:B, 2, FALSE)</f>
        <v>0</v>
      </c>
      <c r="K475" s="2"/>
      <c r="L475" s="2"/>
      <c r="M475">
        <f>L475 * VLOOKUP("proper", inject!A:B, 2, FALSE)</f>
        <v>0</v>
      </c>
      <c r="N475" s="2"/>
      <c r="O475" s="2"/>
      <c r="P475">
        <f>O475 * VLOOKUP("kaltaparu", inject!A:B, 2, FALSE)</f>
        <v>0</v>
      </c>
      <c r="Q475" s="2"/>
    </row>
    <row r="476" spans="1:17">
      <c r="A476">
        <v>475</v>
      </c>
      <c r="B476" t="s">
        <v>487</v>
      </c>
      <c r="C476" s="2"/>
      <c r="D476">
        <f>C476 * VLOOKUP("adipura", inject!A:B, 2, FALSE)</f>
        <v>0</v>
      </c>
      <c r="E476" s="2"/>
      <c r="F476" s="2"/>
      <c r="G476">
        <f>F476 * VLOOKUP("adiwiyata", inject!A:B, 2, FALSE)</f>
        <v>0</v>
      </c>
      <c r="H476" s="2"/>
      <c r="I476" s="2"/>
      <c r="J476">
        <f>I476 * VLOOKUP("proklim", inject!A:B, 2, FALSE)</f>
        <v>0</v>
      </c>
      <c r="K476" s="2"/>
      <c r="L476" s="2"/>
      <c r="M476">
        <f>L476 * VLOOKUP("proper", inject!A:B, 2, FALSE)</f>
        <v>0</v>
      </c>
      <c r="N476" s="2"/>
      <c r="O476" s="2"/>
      <c r="P476">
        <f>O476 * VLOOKUP("kaltaparu", inject!A:B, 2, FALSE)</f>
        <v>0</v>
      </c>
      <c r="Q476" s="2"/>
    </row>
    <row r="477" spans="1:17">
      <c r="A477">
        <v>476</v>
      </c>
      <c r="B477" t="s">
        <v>488</v>
      </c>
      <c r="C477" s="2"/>
      <c r="D477">
        <f>C477 * VLOOKUP("adipura", inject!A:B, 2, FALSE)</f>
        <v>0</v>
      </c>
      <c r="E477" s="2"/>
      <c r="F477" s="2"/>
      <c r="G477">
        <f>F477 * VLOOKUP("adiwiyata", inject!A:B, 2, FALSE)</f>
        <v>0</v>
      </c>
      <c r="H477" s="2"/>
      <c r="I477" s="2"/>
      <c r="J477">
        <f>I477 * VLOOKUP("proklim", inject!A:B, 2, FALSE)</f>
        <v>0</v>
      </c>
      <c r="K477" s="2"/>
      <c r="L477" s="2"/>
      <c r="M477">
        <f>L477 * VLOOKUP("proper", inject!A:B, 2, FALSE)</f>
        <v>0</v>
      </c>
      <c r="N477" s="2"/>
      <c r="O477" s="2"/>
      <c r="P477">
        <f>O477 * VLOOKUP("kaltaparu", inject!A:B, 2, FALSE)</f>
        <v>0</v>
      </c>
      <c r="Q477" s="2"/>
    </row>
    <row r="478" spans="1:17">
      <c r="A478">
        <v>477</v>
      </c>
      <c r="B478" t="s">
        <v>489</v>
      </c>
      <c r="C478" s="2"/>
      <c r="D478">
        <f>C478 * VLOOKUP("adipura", inject!A:B, 2, FALSE)</f>
        <v>0</v>
      </c>
      <c r="E478" s="2"/>
      <c r="F478" s="2"/>
      <c r="G478">
        <f>F478 * VLOOKUP("adiwiyata", inject!A:B, 2, FALSE)</f>
        <v>0</v>
      </c>
      <c r="H478" s="2"/>
      <c r="I478" s="2"/>
      <c r="J478">
        <f>I478 * VLOOKUP("proklim", inject!A:B, 2, FALSE)</f>
        <v>0</v>
      </c>
      <c r="K478" s="2"/>
      <c r="L478" s="2"/>
      <c r="M478">
        <f>L478 * VLOOKUP("proper", inject!A:B, 2, FALSE)</f>
        <v>0</v>
      </c>
      <c r="N478" s="2"/>
      <c r="O478" s="2"/>
      <c r="P478">
        <f>O478 * VLOOKUP("kaltaparu", inject!A:B, 2, FALSE)</f>
        <v>0</v>
      </c>
      <c r="Q478" s="2"/>
    </row>
    <row r="479" spans="1:17">
      <c r="A479">
        <v>478</v>
      </c>
      <c r="B479" t="s">
        <v>490</v>
      </c>
      <c r="C479" s="2"/>
      <c r="D479">
        <f>C479 * VLOOKUP("adipura", inject!A:B, 2, FALSE)</f>
        <v>0</v>
      </c>
      <c r="E479" s="2"/>
      <c r="F479" s="2"/>
      <c r="G479">
        <f>F479 * VLOOKUP("adiwiyata", inject!A:B, 2, FALSE)</f>
        <v>0</v>
      </c>
      <c r="H479" s="2"/>
      <c r="I479" s="2"/>
      <c r="J479">
        <f>I479 * VLOOKUP("proklim", inject!A:B, 2, FALSE)</f>
        <v>0</v>
      </c>
      <c r="K479" s="2"/>
      <c r="L479" s="2"/>
      <c r="M479">
        <f>L479 * VLOOKUP("proper", inject!A:B, 2, FALSE)</f>
        <v>0</v>
      </c>
      <c r="N479" s="2"/>
      <c r="O479" s="2"/>
      <c r="P479">
        <f>O479 * VLOOKUP("kaltaparu", inject!A:B, 2, FALSE)</f>
        <v>0</v>
      </c>
      <c r="Q479" s="2"/>
    </row>
    <row r="480" spans="1:17">
      <c r="A480">
        <v>479</v>
      </c>
      <c r="B480" t="s">
        <v>491</v>
      </c>
      <c r="C480" s="2"/>
      <c r="D480">
        <f>C480 * VLOOKUP("adipura", inject!A:B, 2, FALSE)</f>
        <v>0</v>
      </c>
      <c r="E480" s="2"/>
      <c r="F480" s="2"/>
      <c r="G480">
        <f>F480 * VLOOKUP("adiwiyata", inject!A:B, 2, FALSE)</f>
        <v>0</v>
      </c>
      <c r="H480" s="2"/>
      <c r="I480" s="2"/>
      <c r="J480">
        <f>I480 * VLOOKUP("proklim", inject!A:B, 2, FALSE)</f>
        <v>0</v>
      </c>
      <c r="K480" s="2"/>
      <c r="L480" s="2"/>
      <c r="M480">
        <f>L480 * VLOOKUP("proper", inject!A:B, 2, FALSE)</f>
        <v>0</v>
      </c>
      <c r="N480" s="2"/>
      <c r="O480" s="2"/>
      <c r="P480">
        <f>O480 * VLOOKUP("kaltaparu", inject!A:B, 2, FALSE)</f>
        <v>0</v>
      </c>
      <c r="Q480" s="2"/>
    </row>
    <row r="481" spans="1:17">
      <c r="A481">
        <v>480</v>
      </c>
      <c r="B481" t="s">
        <v>492</v>
      </c>
      <c r="C481" s="2"/>
      <c r="D481">
        <f>C481 * VLOOKUP("adipura", inject!A:B, 2, FALSE)</f>
        <v>0</v>
      </c>
      <c r="E481" s="2"/>
      <c r="F481" s="2"/>
      <c r="G481">
        <f>F481 * VLOOKUP("adiwiyata", inject!A:B, 2, FALSE)</f>
        <v>0</v>
      </c>
      <c r="H481" s="2"/>
      <c r="I481" s="2"/>
      <c r="J481">
        <f>I481 * VLOOKUP("proklim", inject!A:B, 2, FALSE)</f>
        <v>0</v>
      </c>
      <c r="K481" s="2"/>
      <c r="L481" s="2"/>
      <c r="M481">
        <f>L481 * VLOOKUP("proper", inject!A:B, 2, FALSE)</f>
        <v>0</v>
      </c>
      <c r="N481" s="2"/>
      <c r="O481" s="2"/>
      <c r="P481">
        <f>O481 * VLOOKUP("kaltaparu", inject!A:B, 2, FALSE)</f>
        <v>0</v>
      </c>
      <c r="Q481" s="2"/>
    </row>
    <row r="482" spans="1:17">
      <c r="A482">
        <v>481</v>
      </c>
      <c r="B482" t="s">
        <v>493</v>
      </c>
      <c r="C482" s="2"/>
      <c r="D482">
        <f>C482 * VLOOKUP("adipura", inject!A:B, 2, FALSE)</f>
        <v>0</v>
      </c>
      <c r="E482" s="2"/>
      <c r="F482" s="2"/>
      <c r="G482">
        <f>F482 * VLOOKUP("adiwiyata", inject!A:B, 2, FALSE)</f>
        <v>0</v>
      </c>
      <c r="H482" s="2"/>
      <c r="I482" s="2"/>
      <c r="J482">
        <f>I482 * VLOOKUP("proklim", inject!A:B, 2, FALSE)</f>
        <v>0</v>
      </c>
      <c r="K482" s="2"/>
      <c r="L482" s="2"/>
      <c r="M482">
        <f>L482 * VLOOKUP("proper", inject!A:B, 2, FALSE)</f>
        <v>0</v>
      </c>
      <c r="N482" s="2"/>
      <c r="O482" s="2"/>
      <c r="P482">
        <f>O482 * VLOOKUP("kaltaparu", inject!A:B, 2, FALSE)</f>
        <v>0</v>
      </c>
      <c r="Q482" s="2"/>
    </row>
    <row r="483" spans="1:17">
      <c r="A483">
        <v>482</v>
      </c>
      <c r="B483" t="s">
        <v>494</v>
      </c>
      <c r="C483" s="2"/>
      <c r="D483">
        <f>C483 * VLOOKUP("adipura", inject!A:B, 2, FALSE)</f>
        <v>0</v>
      </c>
      <c r="E483" s="2"/>
      <c r="F483" s="2"/>
      <c r="G483">
        <f>F483 * VLOOKUP("adiwiyata", inject!A:B, 2, FALSE)</f>
        <v>0</v>
      </c>
      <c r="H483" s="2"/>
      <c r="I483" s="2"/>
      <c r="J483">
        <f>I483 * VLOOKUP("proklim", inject!A:B, 2, FALSE)</f>
        <v>0</v>
      </c>
      <c r="K483" s="2"/>
      <c r="L483" s="2"/>
      <c r="M483">
        <f>L483 * VLOOKUP("proper", inject!A:B, 2, FALSE)</f>
        <v>0</v>
      </c>
      <c r="N483" s="2"/>
      <c r="O483" s="2"/>
      <c r="P483">
        <f>O483 * VLOOKUP("kaltaparu", inject!A:B, 2, FALSE)</f>
        <v>0</v>
      </c>
      <c r="Q483" s="2"/>
    </row>
    <row r="484" spans="1:17">
      <c r="A484">
        <v>483</v>
      </c>
      <c r="B484" t="s">
        <v>495</v>
      </c>
      <c r="C484" s="2"/>
      <c r="D484">
        <f>C484 * VLOOKUP("adipura", inject!A:B, 2, FALSE)</f>
        <v>0</v>
      </c>
      <c r="E484" s="2"/>
      <c r="F484" s="2"/>
      <c r="G484">
        <f>F484 * VLOOKUP("adiwiyata", inject!A:B, 2, FALSE)</f>
        <v>0</v>
      </c>
      <c r="H484" s="2"/>
      <c r="I484" s="2"/>
      <c r="J484">
        <f>I484 * VLOOKUP("proklim", inject!A:B, 2, FALSE)</f>
        <v>0</v>
      </c>
      <c r="K484" s="2"/>
      <c r="L484" s="2"/>
      <c r="M484">
        <f>L484 * VLOOKUP("proper", inject!A:B, 2, FALSE)</f>
        <v>0</v>
      </c>
      <c r="N484" s="2"/>
      <c r="O484" s="2"/>
      <c r="P484">
        <f>O484 * VLOOKUP("kaltaparu", inject!A:B, 2, FALSE)</f>
        <v>0</v>
      </c>
      <c r="Q484" s="2"/>
    </row>
    <row r="485" spans="1:17">
      <c r="A485">
        <v>484</v>
      </c>
      <c r="B485" t="s">
        <v>496</v>
      </c>
      <c r="C485" s="2"/>
      <c r="D485">
        <f>C485 * VLOOKUP("adipura", inject!A:B, 2, FALSE)</f>
        <v>0</v>
      </c>
      <c r="E485" s="2"/>
      <c r="F485" s="2"/>
      <c r="G485">
        <f>F485 * VLOOKUP("adiwiyata", inject!A:B, 2, FALSE)</f>
        <v>0</v>
      </c>
      <c r="H485" s="2"/>
      <c r="I485" s="2"/>
      <c r="J485">
        <f>I485 * VLOOKUP("proklim", inject!A:B, 2, FALSE)</f>
        <v>0</v>
      </c>
      <c r="K485" s="2"/>
      <c r="L485" s="2"/>
      <c r="M485">
        <f>L485 * VLOOKUP("proper", inject!A:B, 2, FALSE)</f>
        <v>0</v>
      </c>
      <c r="N485" s="2"/>
      <c r="O485" s="2"/>
      <c r="P485">
        <f>O485 * VLOOKUP("kaltaparu", inject!A:B, 2, FALSE)</f>
        <v>0</v>
      </c>
      <c r="Q485" s="2"/>
    </row>
    <row r="486" spans="1:17">
      <c r="A486">
        <v>485</v>
      </c>
      <c r="B486" t="s">
        <v>497</v>
      </c>
      <c r="C486" s="2"/>
      <c r="D486">
        <f>C486 * VLOOKUP("adipura", inject!A:B, 2, FALSE)</f>
        <v>0</v>
      </c>
      <c r="E486" s="2"/>
      <c r="F486" s="2"/>
      <c r="G486">
        <f>F486 * VLOOKUP("adiwiyata", inject!A:B, 2, FALSE)</f>
        <v>0</v>
      </c>
      <c r="H486" s="2"/>
      <c r="I486" s="2"/>
      <c r="J486">
        <f>I486 * VLOOKUP("proklim", inject!A:B, 2, FALSE)</f>
        <v>0</v>
      </c>
      <c r="K486" s="2"/>
      <c r="L486" s="2"/>
      <c r="M486">
        <f>L486 * VLOOKUP("proper", inject!A:B, 2, FALSE)</f>
        <v>0</v>
      </c>
      <c r="N486" s="2"/>
      <c r="O486" s="2"/>
      <c r="P486">
        <f>O486 * VLOOKUP("kaltaparu", inject!A:B, 2, FALSE)</f>
        <v>0</v>
      </c>
      <c r="Q486" s="2"/>
    </row>
    <row r="487" spans="1:17">
      <c r="A487">
        <v>486</v>
      </c>
      <c r="B487" t="s">
        <v>498</v>
      </c>
      <c r="C487" s="2"/>
      <c r="D487">
        <f>C487 * VLOOKUP("adipura", inject!A:B, 2, FALSE)</f>
        <v>0</v>
      </c>
      <c r="E487" s="2"/>
      <c r="F487" s="2"/>
      <c r="G487">
        <f>F487 * VLOOKUP("adiwiyata", inject!A:B, 2, FALSE)</f>
        <v>0</v>
      </c>
      <c r="H487" s="2"/>
      <c r="I487" s="2"/>
      <c r="J487">
        <f>I487 * VLOOKUP("proklim", inject!A:B, 2, FALSE)</f>
        <v>0</v>
      </c>
      <c r="K487" s="2"/>
      <c r="L487" s="2"/>
      <c r="M487">
        <f>L487 * VLOOKUP("proper", inject!A:B, 2, FALSE)</f>
        <v>0</v>
      </c>
      <c r="N487" s="2"/>
      <c r="O487" s="2"/>
      <c r="P487">
        <f>O487 * VLOOKUP("kaltaparu", inject!A:B, 2, FALSE)</f>
        <v>0</v>
      </c>
      <c r="Q487" s="2"/>
    </row>
    <row r="488" spans="1:17">
      <c r="A488">
        <v>487</v>
      </c>
      <c r="B488" t="s">
        <v>499</v>
      </c>
      <c r="C488" s="2"/>
      <c r="D488">
        <f>C488 * VLOOKUP("adipura", inject!A:B, 2, FALSE)</f>
        <v>0</v>
      </c>
      <c r="E488" s="2"/>
      <c r="F488" s="2"/>
      <c r="G488">
        <f>F488 * VLOOKUP("adiwiyata", inject!A:B, 2, FALSE)</f>
        <v>0</v>
      </c>
      <c r="H488" s="2"/>
      <c r="I488" s="2"/>
      <c r="J488">
        <f>I488 * VLOOKUP("proklim", inject!A:B, 2, FALSE)</f>
        <v>0</v>
      </c>
      <c r="K488" s="2"/>
      <c r="L488" s="2"/>
      <c r="M488">
        <f>L488 * VLOOKUP("proper", inject!A:B, 2, FALSE)</f>
        <v>0</v>
      </c>
      <c r="N488" s="2"/>
      <c r="O488" s="2"/>
      <c r="P488">
        <f>O488 * VLOOKUP("kaltaparu", inject!A:B, 2, FALSE)</f>
        <v>0</v>
      </c>
      <c r="Q488" s="2"/>
    </row>
    <row r="489" spans="1:17">
      <c r="A489">
        <v>488</v>
      </c>
      <c r="B489" t="s">
        <v>500</v>
      </c>
      <c r="C489" s="2"/>
      <c r="D489">
        <f>C489 * VLOOKUP("adipura", inject!A:B, 2, FALSE)</f>
        <v>0</v>
      </c>
      <c r="E489" s="2"/>
      <c r="F489" s="2"/>
      <c r="G489">
        <f>F489 * VLOOKUP("adiwiyata", inject!A:B, 2, FALSE)</f>
        <v>0</v>
      </c>
      <c r="H489" s="2"/>
      <c r="I489" s="2"/>
      <c r="J489">
        <f>I489 * VLOOKUP("proklim", inject!A:B, 2, FALSE)</f>
        <v>0</v>
      </c>
      <c r="K489" s="2"/>
      <c r="L489" s="2"/>
      <c r="M489">
        <f>L489 * VLOOKUP("proper", inject!A:B, 2, FALSE)</f>
        <v>0</v>
      </c>
      <c r="N489" s="2"/>
      <c r="O489" s="2"/>
      <c r="P489">
        <f>O489 * VLOOKUP("kaltaparu", inject!A:B, 2, FALSE)</f>
        <v>0</v>
      </c>
      <c r="Q489" s="2"/>
    </row>
    <row r="490" spans="1:17">
      <c r="A490">
        <v>489</v>
      </c>
      <c r="B490" t="s">
        <v>501</v>
      </c>
      <c r="C490" s="2"/>
      <c r="D490">
        <f>C490 * VLOOKUP("adipura", inject!A:B, 2, FALSE)</f>
        <v>0</v>
      </c>
      <c r="E490" s="2"/>
      <c r="F490" s="2"/>
      <c r="G490">
        <f>F490 * VLOOKUP("adiwiyata", inject!A:B, 2, FALSE)</f>
        <v>0</v>
      </c>
      <c r="H490" s="2"/>
      <c r="I490" s="2"/>
      <c r="J490">
        <f>I490 * VLOOKUP("proklim", inject!A:B, 2, FALSE)</f>
        <v>0</v>
      </c>
      <c r="K490" s="2"/>
      <c r="L490" s="2"/>
      <c r="M490">
        <f>L490 * VLOOKUP("proper", inject!A:B, 2, FALSE)</f>
        <v>0</v>
      </c>
      <c r="N490" s="2"/>
      <c r="O490" s="2"/>
      <c r="P490">
        <f>O490 * VLOOKUP("kaltaparu", inject!A:B, 2, FALSE)</f>
        <v>0</v>
      </c>
      <c r="Q490" s="2"/>
    </row>
    <row r="491" spans="1:17">
      <c r="A491">
        <v>490</v>
      </c>
      <c r="B491" t="s">
        <v>502</v>
      </c>
      <c r="C491" s="2"/>
      <c r="D491">
        <f>C491 * VLOOKUP("adipura", inject!A:B, 2, FALSE)</f>
        <v>0</v>
      </c>
      <c r="E491" s="2"/>
      <c r="F491" s="2"/>
      <c r="G491">
        <f>F491 * VLOOKUP("adiwiyata", inject!A:B, 2, FALSE)</f>
        <v>0</v>
      </c>
      <c r="H491" s="2"/>
      <c r="I491" s="2"/>
      <c r="J491">
        <f>I491 * VLOOKUP("proklim", inject!A:B, 2, FALSE)</f>
        <v>0</v>
      </c>
      <c r="K491" s="2"/>
      <c r="L491" s="2"/>
      <c r="M491">
        <f>L491 * VLOOKUP("proper", inject!A:B, 2, FALSE)</f>
        <v>0</v>
      </c>
      <c r="N491" s="2"/>
      <c r="O491" s="2"/>
      <c r="P491">
        <f>O491 * VLOOKUP("kaltaparu", inject!A:B, 2, FALSE)</f>
        <v>0</v>
      </c>
      <c r="Q491" s="2"/>
    </row>
    <row r="492" spans="1:17">
      <c r="A492">
        <v>491</v>
      </c>
      <c r="B492" t="s">
        <v>503</v>
      </c>
      <c r="C492" s="2"/>
      <c r="D492">
        <f>C492 * VLOOKUP("adipura", inject!A:B, 2, FALSE)</f>
        <v>0</v>
      </c>
      <c r="E492" s="2"/>
      <c r="F492" s="2"/>
      <c r="G492">
        <f>F492 * VLOOKUP("adiwiyata", inject!A:B, 2, FALSE)</f>
        <v>0</v>
      </c>
      <c r="H492" s="2"/>
      <c r="I492" s="2"/>
      <c r="J492">
        <f>I492 * VLOOKUP("proklim", inject!A:B, 2, FALSE)</f>
        <v>0</v>
      </c>
      <c r="K492" s="2"/>
      <c r="L492" s="2"/>
      <c r="M492">
        <f>L492 * VLOOKUP("proper", inject!A:B, 2, FALSE)</f>
        <v>0</v>
      </c>
      <c r="N492" s="2"/>
      <c r="O492" s="2"/>
      <c r="P492">
        <f>O492 * VLOOKUP("kaltaparu", inject!A:B, 2, FALSE)</f>
        <v>0</v>
      </c>
      <c r="Q492" s="2"/>
    </row>
    <row r="493" spans="1:17">
      <c r="A493">
        <v>492</v>
      </c>
      <c r="B493" t="s">
        <v>504</v>
      </c>
      <c r="C493" s="2"/>
      <c r="D493">
        <f>C493 * VLOOKUP("adipura", inject!A:B, 2, FALSE)</f>
        <v>0</v>
      </c>
      <c r="E493" s="2"/>
      <c r="F493" s="2"/>
      <c r="G493">
        <f>F493 * VLOOKUP("adiwiyata", inject!A:B, 2, FALSE)</f>
        <v>0</v>
      </c>
      <c r="H493" s="2"/>
      <c r="I493" s="2"/>
      <c r="J493">
        <f>I493 * VLOOKUP("proklim", inject!A:B, 2, FALSE)</f>
        <v>0</v>
      </c>
      <c r="K493" s="2"/>
      <c r="L493" s="2"/>
      <c r="M493">
        <f>L493 * VLOOKUP("proper", inject!A:B, 2, FALSE)</f>
        <v>0</v>
      </c>
      <c r="N493" s="2"/>
      <c r="O493" s="2"/>
      <c r="P493">
        <f>O493 * VLOOKUP("kaltaparu", inject!A:B, 2, FALSE)</f>
        <v>0</v>
      </c>
      <c r="Q493" s="2"/>
    </row>
    <row r="494" spans="1:17">
      <c r="A494">
        <v>493</v>
      </c>
      <c r="B494" t="s">
        <v>505</v>
      </c>
      <c r="C494" s="2"/>
      <c r="D494">
        <f>C494 * VLOOKUP("adipura", inject!A:B, 2, FALSE)</f>
        <v>0</v>
      </c>
      <c r="E494" s="2"/>
      <c r="F494" s="2"/>
      <c r="G494">
        <f>F494 * VLOOKUP("adiwiyata", inject!A:B, 2, FALSE)</f>
        <v>0</v>
      </c>
      <c r="H494" s="2"/>
      <c r="I494" s="2"/>
      <c r="J494">
        <f>I494 * VLOOKUP("proklim", inject!A:B, 2, FALSE)</f>
        <v>0</v>
      </c>
      <c r="K494" s="2"/>
      <c r="L494" s="2"/>
      <c r="M494">
        <f>L494 * VLOOKUP("proper", inject!A:B, 2, FALSE)</f>
        <v>0</v>
      </c>
      <c r="N494" s="2"/>
      <c r="O494" s="2"/>
      <c r="P494">
        <f>O494 * VLOOKUP("kaltaparu", inject!A:B, 2, FALSE)</f>
        <v>0</v>
      </c>
      <c r="Q494" s="2"/>
    </row>
    <row r="495" spans="1:17">
      <c r="A495">
        <v>494</v>
      </c>
      <c r="B495" t="s">
        <v>506</v>
      </c>
      <c r="C495" s="2"/>
      <c r="D495">
        <f>C495 * VLOOKUP("adipura", inject!A:B, 2, FALSE)</f>
        <v>0</v>
      </c>
      <c r="E495" s="2"/>
      <c r="F495" s="2"/>
      <c r="G495">
        <f>F495 * VLOOKUP("adiwiyata", inject!A:B, 2, FALSE)</f>
        <v>0</v>
      </c>
      <c r="H495" s="2"/>
      <c r="I495" s="2"/>
      <c r="J495">
        <f>I495 * VLOOKUP("proklim", inject!A:B, 2, FALSE)</f>
        <v>0</v>
      </c>
      <c r="K495" s="2"/>
      <c r="L495" s="2"/>
      <c r="M495">
        <f>L495 * VLOOKUP("proper", inject!A:B, 2, FALSE)</f>
        <v>0</v>
      </c>
      <c r="N495" s="2"/>
      <c r="O495" s="2"/>
      <c r="P495">
        <f>O495 * VLOOKUP("kaltaparu", inject!A:B, 2, FALSE)</f>
        <v>0</v>
      </c>
      <c r="Q495" s="2"/>
    </row>
    <row r="496" spans="1:17">
      <c r="A496">
        <v>495</v>
      </c>
      <c r="B496" t="s">
        <v>507</v>
      </c>
      <c r="C496" s="2"/>
      <c r="D496">
        <f>C496 * VLOOKUP("adipura", inject!A:B, 2, FALSE)</f>
        <v>0</v>
      </c>
      <c r="E496" s="2"/>
      <c r="F496" s="2"/>
      <c r="G496">
        <f>F496 * VLOOKUP("adiwiyata", inject!A:B, 2, FALSE)</f>
        <v>0</v>
      </c>
      <c r="H496" s="2"/>
      <c r="I496" s="2"/>
      <c r="J496">
        <f>I496 * VLOOKUP("proklim", inject!A:B, 2, FALSE)</f>
        <v>0</v>
      </c>
      <c r="K496" s="2"/>
      <c r="L496" s="2"/>
      <c r="M496">
        <f>L496 * VLOOKUP("proper", inject!A:B, 2, FALSE)</f>
        <v>0</v>
      </c>
      <c r="N496" s="2"/>
      <c r="O496" s="2"/>
      <c r="P496">
        <f>O496 * VLOOKUP("kaltaparu", inject!A:B, 2, FALSE)</f>
        <v>0</v>
      </c>
      <c r="Q496" s="2"/>
    </row>
    <row r="497" spans="1:17">
      <c r="A497">
        <v>496</v>
      </c>
      <c r="B497" t="s">
        <v>508</v>
      </c>
      <c r="C497" s="2"/>
      <c r="D497">
        <f>C497 * VLOOKUP("adipura", inject!A:B, 2, FALSE)</f>
        <v>0</v>
      </c>
      <c r="E497" s="2"/>
      <c r="F497" s="2"/>
      <c r="G497">
        <f>F497 * VLOOKUP("adiwiyata", inject!A:B, 2, FALSE)</f>
        <v>0</v>
      </c>
      <c r="H497" s="2"/>
      <c r="I497" s="2"/>
      <c r="J497">
        <f>I497 * VLOOKUP("proklim", inject!A:B, 2, FALSE)</f>
        <v>0</v>
      </c>
      <c r="K497" s="2"/>
      <c r="L497" s="2"/>
      <c r="M497">
        <f>L497 * VLOOKUP("proper", inject!A:B, 2, FALSE)</f>
        <v>0</v>
      </c>
      <c r="N497" s="2"/>
      <c r="O497" s="2"/>
      <c r="P497">
        <f>O497 * VLOOKUP("kaltaparu", inject!A:B, 2, FALSE)</f>
        <v>0</v>
      </c>
      <c r="Q497" s="2"/>
    </row>
    <row r="498" spans="1:17">
      <c r="A498">
        <v>497</v>
      </c>
      <c r="B498" t="s">
        <v>509</v>
      </c>
      <c r="C498" s="2"/>
      <c r="D498">
        <f>C498 * VLOOKUP("adipura", inject!A:B, 2, FALSE)</f>
        <v>0</v>
      </c>
      <c r="E498" s="2"/>
      <c r="F498" s="2"/>
      <c r="G498">
        <f>F498 * VLOOKUP("adiwiyata", inject!A:B, 2, FALSE)</f>
        <v>0</v>
      </c>
      <c r="H498" s="2"/>
      <c r="I498" s="2"/>
      <c r="J498">
        <f>I498 * VLOOKUP("proklim", inject!A:B, 2, FALSE)</f>
        <v>0</v>
      </c>
      <c r="K498" s="2"/>
      <c r="L498" s="2"/>
      <c r="M498">
        <f>L498 * VLOOKUP("proper", inject!A:B, 2, FALSE)</f>
        <v>0</v>
      </c>
      <c r="N498" s="2"/>
      <c r="O498" s="2"/>
      <c r="P498">
        <f>O498 * VLOOKUP("kaltaparu", inject!A:B, 2, FALSE)</f>
        <v>0</v>
      </c>
      <c r="Q498" s="2"/>
    </row>
    <row r="499" spans="1:17">
      <c r="A499">
        <v>498</v>
      </c>
      <c r="B499" t="s">
        <v>510</v>
      </c>
      <c r="C499" s="2"/>
      <c r="D499">
        <f>C499 * VLOOKUP("adipura", inject!A:B, 2, FALSE)</f>
        <v>0</v>
      </c>
      <c r="E499" s="2"/>
      <c r="F499" s="2"/>
      <c r="G499">
        <f>F499 * VLOOKUP("adiwiyata", inject!A:B, 2, FALSE)</f>
        <v>0</v>
      </c>
      <c r="H499" s="2"/>
      <c r="I499" s="2"/>
      <c r="J499">
        <f>I499 * VLOOKUP("proklim", inject!A:B, 2, FALSE)</f>
        <v>0</v>
      </c>
      <c r="K499" s="2"/>
      <c r="L499" s="2"/>
      <c r="M499">
        <f>L499 * VLOOKUP("proper", inject!A:B, 2, FALSE)</f>
        <v>0</v>
      </c>
      <c r="N499" s="2"/>
      <c r="O499" s="2"/>
      <c r="P499">
        <f>O499 * VLOOKUP("kaltaparu", inject!A:B, 2, FALSE)</f>
        <v>0</v>
      </c>
      <c r="Q499" s="2"/>
    </row>
    <row r="500" spans="1:17">
      <c r="A500">
        <v>499</v>
      </c>
      <c r="B500" t="s">
        <v>511</v>
      </c>
      <c r="C500" s="2"/>
      <c r="D500">
        <f>C500 * VLOOKUP("adipura", inject!A:B, 2, FALSE)</f>
        <v>0</v>
      </c>
      <c r="E500" s="2"/>
      <c r="F500" s="2"/>
      <c r="G500">
        <f>F500 * VLOOKUP("adiwiyata", inject!A:B, 2, FALSE)</f>
        <v>0</v>
      </c>
      <c r="H500" s="2"/>
      <c r="I500" s="2"/>
      <c r="J500">
        <f>I500 * VLOOKUP("proklim", inject!A:B, 2, FALSE)</f>
        <v>0</v>
      </c>
      <c r="K500" s="2"/>
      <c r="L500" s="2"/>
      <c r="M500">
        <f>L500 * VLOOKUP("proper", inject!A:B, 2, FALSE)</f>
        <v>0</v>
      </c>
      <c r="N500" s="2"/>
      <c r="O500" s="2"/>
      <c r="P500">
        <f>O500 * VLOOKUP("kaltaparu", inject!A:B, 2, FALSE)</f>
        <v>0</v>
      </c>
      <c r="Q500" s="2"/>
    </row>
    <row r="501" spans="1:17">
      <c r="A501">
        <v>500</v>
      </c>
      <c r="B501" t="s">
        <v>512</v>
      </c>
      <c r="C501" s="2"/>
      <c r="D501">
        <f>C501 * VLOOKUP("adipura", inject!A:B, 2, FALSE)</f>
        <v>0</v>
      </c>
      <c r="E501" s="2"/>
      <c r="F501" s="2"/>
      <c r="G501">
        <f>F501 * VLOOKUP("adiwiyata", inject!A:B, 2, FALSE)</f>
        <v>0</v>
      </c>
      <c r="H501" s="2"/>
      <c r="I501" s="2"/>
      <c r="J501">
        <f>I501 * VLOOKUP("proklim", inject!A:B, 2, FALSE)</f>
        <v>0</v>
      </c>
      <c r="K501" s="2"/>
      <c r="L501" s="2"/>
      <c r="M501">
        <f>L501 * VLOOKUP("proper", inject!A:B, 2, FALSE)</f>
        <v>0</v>
      </c>
      <c r="N501" s="2"/>
      <c r="O501" s="2"/>
      <c r="P501">
        <f>O501 * VLOOKUP("kaltaparu", inject!A:B, 2, FALSE)</f>
        <v>0</v>
      </c>
      <c r="Q501" s="2"/>
    </row>
    <row r="502" spans="1:17">
      <c r="A502">
        <v>501</v>
      </c>
      <c r="B502" t="s">
        <v>513</v>
      </c>
      <c r="C502" s="2"/>
      <c r="D502">
        <f>C502 * VLOOKUP("adipura", inject!A:B, 2, FALSE)</f>
        <v>0</v>
      </c>
      <c r="E502" s="2"/>
      <c r="F502" s="2"/>
      <c r="G502">
        <f>F502 * VLOOKUP("adiwiyata", inject!A:B, 2, FALSE)</f>
        <v>0</v>
      </c>
      <c r="H502" s="2"/>
      <c r="I502" s="2"/>
      <c r="J502">
        <f>I502 * VLOOKUP("proklim", inject!A:B, 2, FALSE)</f>
        <v>0</v>
      </c>
      <c r="K502" s="2"/>
      <c r="L502" s="2"/>
      <c r="M502">
        <f>L502 * VLOOKUP("proper", inject!A:B, 2, FALSE)</f>
        <v>0</v>
      </c>
      <c r="N502" s="2"/>
      <c r="O502" s="2"/>
      <c r="P502">
        <f>O502 * VLOOKUP("kaltaparu", inject!A:B, 2, FALSE)</f>
        <v>0</v>
      </c>
      <c r="Q502" s="2"/>
    </row>
    <row r="503" spans="1:17">
      <c r="A503">
        <v>502</v>
      </c>
      <c r="B503" t="s">
        <v>514</v>
      </c>
      <c r="C503" s="2"/>
      <c r="D503">
        <f>C503 * VLOOKUP("adipura", inject!A:B, 2, FALSE)</f>
        <v>0</v>
      </c>
      <c r="E503" s="2"/>
      <c r="F503" s="2"/>
      <c r="G503">
        <f>F503 * VLOOKUP("adiwiyata", inject!A:B, 2, FALSE)</f>
        <v>0</v>
      </c>
      <c r="H503" s="2"/>
      <c r="I503" s="2"/>
      <c r="J503">
        <f>I503 * VLOOKUP("proklim", inject!A:B, 2, FALSE)</f>
        <v>0</v>
      </c>
      <c r="K503" s="2"/>
      <c r="L503" s="2"/>
      <c r="M503">
        <f>L503 * VLOOKUP("proper", inject!A:B, 2, FALSE)</f>
        <v>0</v>
      </c>
      <c r="N503" s="2"/>
      <c r="O503" s="2"/>
      <c r="P503">
        <f>O503 * VLOOKUP("kaltaparu", inject!A:B, 2, FALSE)</f>
        <v>0</v>
      </c>
      <c r="Q503" s="2"/>
    </row>
    <row r="504" spans="1:17">
      <c r="A504">
        <v>503</v>
      </c>
      <c r="B504" t="s">
        <v>515</v>
      </c>
      <c r="C504" s="2"/>
      <c r="D504">
        <f>C504 * VLOOKUP("adipura", inject!A:B, 2, FALSE)</f>
        <v>0</v>
      </c>
      <c r="E504" s="2"/>
      <c r="F504" s="2"/>
      <c r="G504">
        <f>F504 * VLOOKUP("adiwiyata", inject!A:B, 2, FALSE)</f>
        <v>0</v>
      </c>
      <c r="H504" s="2"/>
      <c r="I504" s="2"/>
      <c r="J504">
        <f>I504 * VLOOKUP("proklim", inject!A:B, 2, FALSE)</f>
        <v>0</v>
      </c>
      <c r="K504" s="2"/>
      <c r="L504" s="2"/>
      <c r="M504">
        <f>L504 * VLOOKUP("proper", inject!A:B, 2, FALSE)</f>
        <v>0</v>
      </c>
      <c r="N504" s="2"/>
      <c r="O504" s="2"/>
      <c r="P504">
        <f>O504 * VLOOKUP("kaltaparu", inject!A:B, 2, FALSE)</f>
        <v>0</v>
      </c>
      <c r="Q504" s="2"/>
    </row>
    <row r="505" spans="1:17">
      <c r="A505">
        <v>504</v>
      </c>
      <c r="B505" t="s">
        <v>516</v>
      </c>
      <c r="C505" s="2"/>
      <c r="D505">
        <f>C505 * VLOOKUP("adipura", inject!A:B, 2, FALSE)</f>
        <v>0</v>
      </c>
      <c r="E505" s="2"/>
      <c r="F505" s="2"/>
      <c r="G505">
        <f>F505 * VLOOKUP("adiwiyata", inject!A:B, 2, FALSE)</f>
        <v>0</v>
      </c>
      <c r="H505" s="2"/>
      <c r="I505" s="2"/>
      <c r="J505">
        <f>I505 * VLOOKUP("proklim", inject!A:B, 2, FALSE)</f>
        <v>0</v>
      </c>
      <c r="K505" s="2"/>
      <c r="L505" s="2"/>
      <c r="M505">
        <f>L505 * VLOOKUP("proper", inject!A:B, 2, FALSE)</f>
        <v>0</v>
      </c>
      <c r="N505" s="2"/>
      <c r="O505" s="2"/>
      <c r="P505">
        <f>O505 * VLOOKUP("kaltaparu", inject!A:B, 2, FALSE)</f>
        <v>0</v>
      </c>
      <c r="Q505" s="2"/>
    </row>
    <row r="506" spans="1:17">
      <c r="A506">
        <v>505</v>
      </c>
      <c r="B506" t="s">
        <v>517</v>
      </c>
      <c r="C506" s="2"/>
      <c r="D506">
        <f>C506 * VLOOKUP("adipura", inject!A:B, 2, FALSE)</f>
        <v>0</v>
      </c>
      <c r="E506" s="2"/>
      <c r="F506" s="2"/>
      <c r="G506">
        <f>F506 * VLOOKUP("adiwiyata", inject!A:B, 2, FALSE)</f>
        <v>0</v>
      </c>
      <c r="H506" s="2"/>
      <c r="I506" s="2"/>
      <c r="J506">
        <f>I506 * VLOOKUP("proklim", inject!A:B, 2, FALSE)</f>
        <v>0</v>
      </c>
      <c r="K506" s="2"/>
      <c r="L506" s="2"/>
      <c r="M506">
        <f>L506 * VLOOKUP("proper", inject!A:B, 2, FALSE)</f>
        <v>0</v>
      </c>
      <c r="N506" s="2"/>
      <c r="O506" s="2"/>
      <c r="P506">
        <f>O506 * VLOOKUP("kaltaparu", inject!A:B, 2, FALSE)</f>
        <v>0</v>
      </c>
      <c r="Q506" s="2"/>
    </row>
    <row r="507" spans="1:17">
      <c r="A507">
        <v>506</v>
      </c>
      <c r="B507" t="s">
        <v>518</v>
      </c>
      <c r="C507" s="2"/>
      <c r="D507">
        <f>C507 * VLOOKUP("adipura", inject!A:B, 2, FALSE)</f>
        <v>0</v>
      </c>
      <c r="E507" s="2"/>
      <c r="F507" s="2"/>
      <c r="G507">
        <f>F507 * VLOOKUP("adiwiyata", inject!A:B, 2, FALSE)</f>
        <v>0</v>
      </c>
      <c r="H507" s="2"/>
      <c r="I507" s="2"/>
      <c r="J507">
        <f>I507 * VLOOKUP("proklim", inject!A:B, 2, FALSE)</f>
        <v>0</v>
      </c>
      <c r="K507" s="2"/>
      <c r="L507" s="2"/>
      <c r="M507">
        <f>L507 * VLOOKUP("proper", inject!A:B, 2, FALSE)</f>
        <v>0</v>
      </c>
      <c r="N507" s="2"/>
      <c r="O507" s="2"/>
      <c r="P507">
        <f>O507 * VLOOKUP("kaltaparu", inject!A:B, 2, FALSE)</f>
        <v>0</v>
      </c>
      <c r="Q507" s="2"/>
    </row>
    <row r="508" spans="1:17">
      <c r="A508">
        <v>507</v>
      </c>
      <c r="B508" t="s">
        <v>519</v>
      </c>
      <c r="C508" s="2"/>
      <c r="D508">
        <f>C508 * VLOOKUP("adipura", inject!A:B, 2, FALSE)</f>
        <v>0</v>
      </c>
      <c r="E508" s="2"/>
      <c r="F508" s="2"/>
      <c r="G508">
        <f>F508 * VLOOKUP("adiwiyata", inject!A:B, 2, FALSE)</f>
        <v>0</v>
      </c>
      <c r="H508" s="2"/>
      <c r="I508" s="2"/>
      <c r="J508">
        <f>I508 * VLOOKUP("proklim", inject!A:B, 2, FALSE)</f>
        <v>0</v>
      </c>
      <c r="K508" s="2"/>
      <c r="L508" s="2"/>
      <c r="M508">
        <f>L508 * VLOOKUP("proper", inject!A:B, 2, FALSE)</f>
        <v>0</v>
      </c>
      <c r="N508" s="2"/>
      <c r="O508" s="2"/>
      <c r="P508">
        <f>O508 * VLOOKUP("kaltaparu", inject!A:B, 2, FALSE)</f>
        <v>0</v>
      </c>
      <c r="Q508" s="2"/>
    </row>
    <row r="509" spans="1:17">
      <c r="A509">
        <v>508</v>
      </c>
      <c r="B509" t="s">
        <v>520</v>
      </c>
      <c r="C509" s="2"/>
      <c r="D509">
        <f>C509 * VLOOKUP("adipura", inject!A:B, 2, FALSE)</f>
        <v>0</v>
      </c>
      <c r="E509" s="2"/>
      <c r="F509" s="2"/>
      <c r="G509">
        <f>F509 * VLOOKUP("adiwiyata", inject!A:B, 2, FALSE)</f>
        <v>0</v>
      </c>
      <c r="H509" s="2"/>
      <c r="I509" s="2"/>
      <c r="J509">
        <f>I509 * VLOOKUP("proklim", inject!A:B, 2, FALSE)</f>
        <v>0</v>
      </c>
      <c r="K509" s="2"/>
      <c r="L509" s="2"/>
      <c r="M509">
        <f>L509 * VLOOKUP("proper", inject!A:B, 2, FALSE)</f>
        <v>0</v>
      </c>
      <c r="N509" s="2"/>
      <c r="O509" s="2"/>
      <c r="P509">
        <f>O509 * VLOOKUP("kaltaparu", inject!A:B, 2, FALSE)</f>
        <v>0</v>
      </c>
      <c r="Q509" s="2"/>
    </row>
    <row r="510" spans="1:17">
      <c r="A510">
        <v>509</v>
      </c>
      <c r="B510" t="s">
        <v>521</v>
      </c>
      <c r="C510" s="2"/>
      <c r="D510">
        <f>C510 * VLOOKUP("adipura", inject!A:B, 2, FALSE)</f>
        <v>0</v>
      </c>
      <c r="E510" s="2"/>
      <c r="F510" s="2"/>
      <c r="G510">
        <f>F510 * VLOOKUP("adiwiyata", inject!A:B, 2, FALSE)</f>
        <v>0</v>
      </c>
      <c r="H510" s="2"/>
      <c r="I510" s="2"/>
      <c r="J510">
        <f>I510 * VLOOKUP("proklim", inject!A:B, 2, FALSE)</f>
        <v>0</v>
      </c>
      <c r="K510" s="2"/>
      <c r="L510" s="2"/>
      <c r="M510">
        <f>L510 * VLOOKUP("proper", inject!A:B, 2, FALSE)</f>
        <v>0</v>
      </c>
      <c r="N510" s="2"/>
      <c r="O510" s="2"/>
      <c r="P510">
        <f>O510 * VLOOKUP("kaltaparu", inject!A:B, 2, FALSE)</f>
        <v>0</v>
      </c>
      <c r="Q510" s="2"/>
    </row>
    <row r="511" spans="1:17">
      <c r="A511">
        <v>510</v>
      </c>
      <c r="B511" t="s">
        <v>522</v>
      </c>
      <c r="C511" s="2"/>
      <c r="D511">
        <f>C511 * VLOOKUP("adipura", inject!A:B, 2, FALSE)</f>
        <v>0</v>
      </c>
      <c r="E511" s="2"/>
      <c r="F511" s="2"/>
      <c r="G511">
        <f>F511 * VLOOKUP("adiwiyata", inject!A:B, 2, FALSE)</f>
        <v>0</v>
      </c>
      <c r="H511" s="2"/>
      <c r="I511" s="2"/>
      <c r="J511">
        <f>I511 * VLOOKUP("proklim", inject!A:B, 2, FALSE)</f>
        <v>0</v>
      </c>
      <c r="K511" s="2"/>
      <c r="L511" s="2"/>
      <c r="M511">
        <f>L511 * VLOOKUP("proper", inject!A:B, 2, FALSE)</f>
        <v>0</v>
      </c>
      <c r="N511" s="2"/>
      <c r="O511" s="2"/>
      <c r="P511">
        <f>O511 * VLOOKUP("kaltaparu", inject!A:B, 2, FALSE)</f>
        <v>0</v>
      </c>
      <c r="Q511" s="2"/>
    </row>
    <row r="512" spans="1:17">
      <c r="A512">
        <v>511</v>
      </c>
      <c r="B512" t="s">
        <v>523</v>
      </c>
      <c r="C512" s="2"/>
      <c r="D512">
        <f>C512 * VLOOKUP("adipura", inject!A:B, 2, FALSE)</f>
        <v>0</v>
      </c>
      <c r="E512" s="2"/>
      <c r="F512" s="2"/>
      <c r="G512">
        <f>F512 * VLOOKUP("adiwiyata", inject!A:B, 2, FALSE)</f>
        <v>0</v>
      </c>
      <c r="H512" s="2"/>
      <c r="I512" s="2"/>
      <c r="J512">
        <f>I512 * VLOOKUP("proklim", inject!A:B, 2, FALSE)</f>
        <v>0</v>
      </c>
      <c r="K512" s="2"/>
      <c r="L512" s="2"/>
      <c r="M512">
        <f>L512 * VLOOKUP("proper", inject!A:B, 2, FALSE)</f>
        <v>0</v>
      </c>
      <c r="N512" s="2"/>
      <c r="O512" s="2"/>
      <c r="P512">
        <f>O512 * VLOOKUP("kaltaparu", inject!A:B, 2, FALSE)</f>
        <v>0</v>
      </c>
      <c r="Q512" s="2"/>
    </row>
    <row r="513" spans="1:17">
      <c r="A513">
        <v>512</v>
      </c>
      <c r="B513" t="s">
        <v>524</v>
      </c>
      <c r="C513" s="2"/>
      <c r="D513">
        <f>C513 * VLOOKUP("adipura", inject!A:B, 2, FALSE)</f>
        <v>0</v>
      </c>
      <c r="E513" s="2"/>
      <c r="F513" s="2"/>
      <c r="G513">
        <f>F513 * VLOOKUP("adiwiyata", inject!A:B, 2, FALSE)</f>
        <v>0</v>
      </c>
      <c r="H513" s="2"/>
      <c r="I513" s="2"/>
      <c r="J513">
        <f>I513 * VLOOKUP("proklim", inject!A:B, 2, FALSE)</f>
        <v>0</v>
      </c>
      <c r="K513" s="2"/>
      <c r="L513" s="2"/>
      <c r="M513">
        <f>L513 * VLOOKUP("proper", inject!A:B, 2, FALSE)</f>
        <v>0</v>
      </c>
      <c r="N513" s="2"/>
      <c r="O513" s="2"/>
      <c r="P513">
        <f>O513 * VLOOKUP("kaltaparu", inject!A:B, 2, FALSE)</f>
        <v>0</v>
      </c>
      <c r="Q513" s="2"/>
    </row>
    <row r="514" spans="1:17">
      <c r="A514">
        <v>513</v>
      </c>
      <c r="B514" t="s">
        <v>525</v>
      </c>
      <c r="C514" s="2"/>
      <c r="D514">
        <f>C514 * VLOOKUP("adipura", inject!A:B, 2, FALSE)</f>
        <v>0</v>
      </c>
      <c r="E514" s="2"/>
      <c r="F514" s="2"/>
      <c r="G514">
        <f>F514 * VLOOKUP("adiwiyata", inject!A:B, 2, FALSE)</f>
        <v>0</v>
      </c>
      <c r="H514" s="2"/>
      <c r="I514" s="2"/>
      <c r="J514">
        <f>I514 * VLOOKUP("proklim", inject!A:B, 2, FALSE)</f>
        <v>0</v>
      </c>
      <c r="K514" s="2"/>
      <c r="L514" s="2"/>
      <c r="M514">
        <f>L514 * VLOOKUP("proper", inject!A:B, 2, FALSE)</f>
        <v>0</v>
      </c>
      <c r="N514" s="2"/>
      <c r="O514" s="2"/>
      <c r="P514">
        <f>O514 * VLOOKUP("kaltaparu", inject!A:B, 2, FALSE)</f>
        <v>0</v>
      </c>
      <c r="Q514" s="2"/>
    </row>
    <row r="515" spans="1:17">
      <c r="A515">
        <v>514</v>
      </c>
      <c r="B515" t="s">
        <v>526</v>
      </c>
      <c r="C515" s="2"/>
      <c r="D515">
        <f>C515 * VLOOKUP("adipura", inject!A:B, 2, FALSE)</f>
        <v>0</v>
      </c>
      <c r="E515" s="2"/>
      <c r="F515" s="2"/>
      <c r="G515">
        <f>F515 * VLOOKUP("adiwiyata", inject!A:B, 2, FALSE)</f>
        <v>0</v>
      </c>
      <c r="H515" s="2"/>
      <c r="I515" s="2"/>
      <c r="J515">
        <f>I515 * VLOOKUP("proklim", inject!A:B, 2, FALSE)</f>
        <v>0</v>
      </c>
      <c r="K515" s="2"/>
      <c r="L515" s="2"/>
      <c r="M515">
        <f>L515 * VLOOKUP("proper", inject!A:B, 2, FALSE)</f>
        <v>0</v>
      </c>
      <c r="N515" s="2"/>
      <c r="O515" s="2"/>
      <c r="P515">
        <f>O515 * VLOOKUP("kaltaparu", inject!A:B, 2, FALSE)</f>
        <v>0</v>
      </c>
      <c r="Q515" s="2"/>
    </row>
    <row r="516" spans="1:17">
      <c r="A516">
        <v>515</v>
      </c>
      <c r="B516" t="s">
        <v>527</v>
      </c>
      <c r="C516" s="2"/>
      <c r="D516">
        <f>C516 * VLOOKUP("adipura", inject!A:B, 2, FALSE)</f>
        <v>0</v>
      </c>
      <c r="E516" s="2"/>
      <c r="F516" s="2"/>
      <c r="G516">
        <f>F516 * VLOOKUP("adiwiyata", inject!A:B, 2, FALSE)</f>
        <v>0</v>
      </c>
      <c r="H516" s="2"/>
      <c r="I516" s="2"/>
      <c r="J516">
        <f>I516 * VLOOKUP("proklim", inject!A:B, 2, FALSE)</f>
        <v>0</v>
      </c>
      <c r="K516" s="2"/>
      <c r="L516" s="2"/>
      <c r="M516">
        <f>L516 * VLOOKUP("proper", inject!A:B, 2, FALSE)</f>
        <v>0</v>
      </c>
      <c r="N516" s="2"/>
      <c r="O516" s="2"/>
      <c r="P516">
        <f>O516 * VLOOKUP("kaltaparu", inject!A:B, 2, FALSE)</f>
        <v>0</v>
      </c>
      <c r="Q516" s="2"/>
    </row>
    <row r="517" spans="1:17">
      <c r="A517">
        <v>516</v>
      </c>
      <c r="B517" t="s">
        <v>528</v>
      </c>
      <c r="C517" s="2"/>
      <c r="D517">
        <f>C517 * VLOOKUP("adipura", inject!A:B, 2, FALSE)</f>
        <v>0</v>
      </c>
      <c r="E517" s="2"/>
      <c r="F517" s="2"/>
      <c r="G517">
        <f>F517 * VLOOKUP("adiwiyata", inject!A:B, 2, FALSE)</f>
        <v>0</v>
      </c>
      <c r="H517" s="2"/>
      <c r="I517" s="2"/>
      <c r="J517">
        <f>I517 * VLOOKUP("proklim", inject!A:B, 2, FALSE)</f>
        <v>0</v>
      </c>
      <c r="K517" s="2"/>
      <c r="L517" s="2"/>
      <c r="M517">
        <f>L517 * VLOOKUP("proper", inject!A:B, 2, FALSE)</f>
        <v>0</v>
      </c>
      <c r="N517" s="2"/>
      <c r="O517" s="2"/>
      <c r="P517">
        <f>O517 * VLOOKUP("kaltaparu", inject!A:B, 2, FALSE)</f>
        <v>0</v>
      </c>
      <c r="Q517" s="2"/>
    </row>
    <row r="518" spans="1:17">
      <c r="A518">
        <v>517</v>
      </c>
      <c r="B518" t="s">
        <v>529</v>
      </c>
      <c r="C518" s="2"/>
      <c r="D518">
        <f>C518 * VLOOKUP("adipura", inject!A:B, 2, FALSE)</f>
        <v>0</v>
      </c>
      <c r="E518" s="2"/>
      <c r="F518" s="2"/>
      <c r="G518">
        <f>F518 * VLOOKUP("adiwiyata", inject!A:B, 2, FALSE)</f>
        <v>0</v>
      </c>
      <c r="H518" s="2"/>
      <c r="I518" s="2"/>
      <c r="J518">
        <f>I518 * VLOOKUP("proklim", inject!A:B, 2, FALSE)</f>
        <v>0</v>
      </c>
      <c r="K518" s="2"/>
      <c r="L518" s="2"/>
      <c r="M518">
        <f>L518 * VLOOKUP("proper", inject!A:B, 2, FALSE)</f>
        <v>0</v>
      </c>
      <c r="N518" s="2"/>
      <c r="O518" s="2"/>
      <c r="P518">
        <f>O518 * VLOOKUP("kaltaparu", inject!A:B, 2, FALSE)</f>
        <v>0</v>
      </c>
      <c r="Q518" s="2"/>
    </row>
    <row r="519" spans="1:17">
      <c r="A519">
        <v>518</v>
      </c>
      <c r="B519" t="s">
        <v>530</v>
      </c>
      <c r="C519" s="2"/>
      <c r="D519">
        <f>C519 * VLOOKUP("adipura", inject!A:B, 2, FALSE)</f>
        <v>0</v>
      </c>
      <c r="E519" s="2"/>
      <c r="F519" s="2"/>
      <c r="G519">
        <f>F519 * VLOOKUP("adiwiyata", inject!A:B, 2, FALSE)</f>
        <v>0</v>
      </c>
      <c r="H519" s="2"/>
      <c r="I519" s="2"/>
      <c r="J519">
        <f>I519 * VLOOKUP("proklim", inject!A:B, 2, FALSE)</f>
        <v>0</v>
      </c>
      <c r="K519" s="2"/>
      <c r="L519" s="2"/>
      <c r="M519">
        <f>L519 * VLOOKUP("proper", inject!A:B, 2, FALSE)</f>
        <v>0</v>
      </c>
      <c r="N519" s="2"/>
      <c r="O519" s="2"/>
      <c r="P519">
        <f>O519 * VLOOKUP("kaltaparu", inject!A:B, 2, FALSE)</f>
        <v>0</v>
      </c>
      <c r="Q519" s="2"/>
    </row>
    <row r="520" spans="1:17">
      <c r="A520">
        <v>519</v>
      </c>
      <c r="B520" t="s">
        <v>531</v>
      </c>
      <c r="C520" s="2"/>
      <c r="D520">
        <f>C520 * VLOOKUP("adipura", inject!A:B, 2, FALSE)</f>
        <v>0</v>
      </c>
      <c r="E520" s="2"/>
      <c r="F520" s="2"/>
      <c r="G520">
        <f>F520 * VLOOKUP("adiwiyata", inject!A:B, 2, FALSE)</f>
        <v>0</v>
      </c>
      <c r="H520" s="2"/>
      <c r="I520" s="2"/>
      <c r="J520">
        <f>I520 * VLOOKUP("proklim", inject!A:B, 2, FALSE)</f>
        <v>0</v>
      </c>
      <c r="K520" s="2"/>
      <c r="L520" s="2"/>
      <c r="M520">
        <f>L520 * VLOOKUP("proper", inject!A:B, 2, FALSE)</f>
        <v>0</v>
      </c>
      <c r="N520" s="2"/>
      <c r="O520" s="2"/>
      <c r="P520">
        <f>O520 * VLOOKUP("kaltaparu", inject!A:B, 2, FALSE)</f>
        <v>0</v>
      </c>
      <c r="Q520" s="2"/>
    </row>
    <row r="521" spans="1:17">
      <c r="A521">
        <v>520</v>
      </c>
      <c r="B521" t="s">
        <v>532</v>
      </c>
      <c r="C521" s="2"/>
      <c r="D521">
        <f>C521 * VLOOKUP("adipura", inject!A:B, 2, FALSE)</f>
        <v>0</v>
      </c>
      <c r="E521" s="2"/>
      <c r="F521" s="2"/>
      <c r="G521">
        <f>F521 * VLOOKUP("adiwiyata", inject!A:B, 2, FALSE)</f>
        <v>0</v>
      </c>
      <c r="H521" s="2"/>
      <c r="I521" s="2"/>
      <c r="J521">
        <f>I521 * VLOOKUP("proklim", inject!A:B, 2, FALSE)</f>
        <v>0</v>
      </c>
      <c r="K521" s="2"/>
      <c r="L521" s="2"/>
      <c r="M521">
        <f>L521 * VLOOKUP("proper", inject!A:B, 2, FALSE)</f>
        <v>0</v>
      </c>
      <c r="N521" s="2"/>
      <c r="O521" s="2"/>
      <c r="P521">
        <f>O521 * VLOOKUP("kaltaparu", inject!A:B, 2, FALSE)</f>
        <v>0</v>
      </c>
      <c r="Q521" s="2"/>
    </row>
    <row r="522" spans="1:17">
      <c r="A522">
        <v>521</v>
      </c>
      <c r="B522" t="s">
        <v>533</v>
      </c>
      <c r="C522" s="2"/>
      <c r="D522">
        <f>C522 * VLOOKUP("adipura", inject!A:B, 2, FALSE)</f>
        <v>0</v>
      </c>
      <c r="E522" s="2"/>
      <c r="F522" s="2"/>
      <c r="G522">
        <f>F522 * VLOOKUP("adiwiyata", inject!A:B, 2, FALSE)</f>
        <v>0</v>
      </c>
      <c r="H522" s="2"/>
      <c r="I522" s="2"/>
      <c r="J522">
        <f>I522 * VLOOKUP("proklim", inject!A:B, 2, FALSE)</f>
        <v>0</v>
      </c>
      <c r="K522" s="2"/>
      <c r="L522" s="2"/>
      <c r="M522">
        <f>L522 * VLOOKUP("proper", inject!A:B, 2, FALSE)</f>
        <v>0</v>
      </c>
      <c r="N522" s="2"/>
      <c r="O522" s="2"/>
      <c r="P522">
        <f>O522 * VLOOKUP("kaltaparu", inject!A:B, 2, FALSE)</f>
        <v>0</v>
      </c>
      <c r="Q522" s="2"/>
    </row>
    <row r="523" spans="1:17">
      <c r="A523">
        <v>522</v>
      </c>
      <c r="B523" t="s">
        <v>534</v>
      </c>
      <c r="C523" s="2"/>
      <c r="D523">
        <f>C523 * VLOOKUP("adipura", inject!A:B, 2, FALSE)</f>
        <v>0</v>
      </c>
      <c r="E523" s="2"/>
      <c r="F523" s="2"/>
      <c r="G523">
        <f>F523 * VLOOKUP("adiwiyata", inject!A:B, 2, FALSE)</f>
        <v>0</v>
      </c>
      <c r="H523" s="2"/>
      <c r="I523" s="2"/>
      <c r="J523">
        <f>I523 * VLOOKUP("proklim", inject!A:B, 2, FALSE)</f>
        <v>0</v>
      </c>
      <c r="K523" s="2"/>
      <c r="L523" s="2"/>
      <c r="M523">
        <f>L523 * VLOOKUP("proper", inject!A:B, 2, FALSE)</f>
        <v>0</v>
      </c>
      <c r="N523" s="2"/>
      <c r="O523" s="2"/>
      <c r="P523">
        <f>O523 * VLOOKUP("kaltaparu", inject!A:B, 2, FALSE)</f>
        <v>0</v>
      </c>
      <c r="Q523" s="2"/>
    </row>
    <row r="524" spans="1:17">
      <c r="A524">
        <v>523</v>
      </c>
      <c r="B524" t="s">
        <v>535</v>
      </c>
      <c r="C524" s="2"/>
      <c r="D524">
        <f>C524 * VLOOKUP("adipura", inject!A:B, 2, FALSE)</f>
        <v>0</v>
      </c>
      <c r="E524" s="2"/>
      <c r="F524" s="2"/>
      <c r="G524">
        <f>F524 * VLOOKUP("adiwiyata", inject!A:B, 2, FALSE)</f>
        <v>0</v>
      </c>
      <c r="H524" s="2"/>
      <c r="I524" s="2"/>
      <c r="J524">
        <f>I524 * VLOOKUP("proklim", inject!A:B, 2, FALSE)</f>
        <v>0</v>
      </c>
      <c r="K524" s="2"/>
      <c r="L524" s="2"/>
      <c r="M524">
        <f>L524 * VLOOKUP("proper", inject!A:B, 2, FALSE)</f>
        <v>0</v>
      </c>
      <c r="N524" s="2"/>
      <c r="O524" s="2"/>
      <c r="P524">
        <f>O524 * VLOOKUP("kaltaparu", inject!A:B, 2, FALSE)</f>
        <v>0</v>
      </c>
      <c r="Q524" s="2"/>
    </row>
    <row r="525" spans="1:17">
      <c r="A525">
        <v>524</v>
      </c>
      <c r="B525" t="s">
        <v>536</v>
      </c>
      <c r="C525" s="2"/>
      <c r="D525">
        <f>C525 * VLOOKUP("adipura", inject!A:B, 2, FALSE)</f>
        <v>0</v>
      </c>
      <c r="E525" s="2"/>
      <c r="F525" s="2"/>
      <c r="G525">
        <f>F525 * VLOOKUP("adiwiyata", inject!A:B, 2, FALSE)</f>
        <v>0</v>
      </c>
      <c r="H525" s="2"/>
      <c r="I525" s="2"/>
      <c r="J525">
        <f>I525 * VLOOKUP("proklim", inject!A:B, 2, FALSE)</f>
        <v>0</v>
      </c>
      <c r="K525" s="2"/>
      <c r="L525" s="2"/>
      <c r="M525">
        <f>L525 * VLOOKUP("proper", inject!A:B, 2, FALSE)</f>
        <v>0</v>
      </c>
      <c r="N525" s="2"/>
      <c r="O525" s="2"/>
      <c r="P525">
        <f>O525 * VLOOKUP("kaltaparu", inject!A:B, 2, FALSE)</f>
        <v>0</v>
      </c>
      <c r="Q525" s="2"/>
    </row>
    <row r="526" spans="1:17">
      <c r="A526">
        <v>525</v>
      </c>
      <c r="B526" t="s">
        <v>537</v>
      </c>
      <c r="C526" s="2"/>
      <c r="D526">
        <f>C526 * VLOOKUP("adipura", inject!A:B, 2, FALSE)</f>
        <v>0</v>
      </c>
      <c r="E526" s="2"/>
      <c r="F526" s="2"/>
      <c r="G526">
        <f>F526 * VLOOKUP("adiwiyata", inject!A:B, 2, FALSE)</f>
        <v>0</v>
      </c>
      <c r="H526" s="2"/>
      <c r="I526" s="2"/>
      <c r="J526">
        <f>I526 * VLOOKUP("proklim", inject!A:B, 2, FALSE)</f>
        <v>0</v>
      </c>
      <c r="K526" s="2"/>
      <c r="L526" s="2"/>
      <c r="M526">
        <f>L526 * VLOOKUP("proper", inject!A:B, 2, FALSE)</f>
        <v>0</v>
      </c>
      <c r="N526" s="2"/>
      <c r="O526" s="2"/>
      <c r="P526">
        <f>O526 * VLOOKUP("kaltaparu", inject!A:B, 2, FALSE)</f>
        <v>0</v>
      </c>
      <c r="Q526" s="2"/>
    </row>
    <row r="527" spans="1:17">
      <c r="A527">
        <v>526</v>
      </c>
      <c r="B527" t="s">
        <v>538</v>
      </c>
      <c r="C527" s="2"/>
      <c r="D527">
        <f>C527 * VLOOKUP("adipura", inject!A:B, 2, FALSE)</f>
        <v>0</v>
      </c>
      <c r="E527" s="2"/>
      <c r="F527" s="2"/>
      <c r="G527">
        <f>F527 * VLOOKUP("adiwiyata", inject!A:B, 2, FALSE)</f>
        <v>0</v>
      </c>
      <c r="H527" s="2"/>
      <c r="I527" s="2"/>
      <c r="J527">
        <f>I527 * VLOOKUP("proklim", inject!A:B, 2, FALSE)</f>
        <v>0</v>
      </c>
      <c r="K527" s="2"/>
      <c r="L527" s="2"/>
      <c r="M527">
        <f>L527 * VLOOKUP("proper", inject!A:B, 2, FALSE)</f>
        <v>0</v>
      </c>
      <c r="N527" s="2"/>
      <c r="O527" s="2"/>
      <c r="P527">
        <f>O527 * VLOOKUP("kaltaparu", inject!A:B, 2, FALSE)</f>
        <v>0</v>
      </c>
      <c r="Q527" s="2"/>
    </row>
    <row r="528" spans="1:17">
      <c r="A528">
        <v>527</v>
      </c>
      <c r="B528" t="s">
        <v>539</v>
      </c>
      <c r="C528" s="2"/>
      <c r="D528">
        <f>C528 * VLOOKUP("adipura", inject!A:B, 2, FALSE)</f>
        <v>0</v>
      </c>
      <c r="E528" s="2"/>
      <c r="F528" s="2"/>
      <c r="G528">
        <f>F528 * VLOOKUP("adiwiyata", inject!A:B, 2, FALSE)</f>
        <v>0</v>
      </c>
      <c r="H528" s="2"/>
      <c r="I528" s="2"/>
      <c r="J528">
        <f>I528 * VLOOKUP("proklim", inject!A:B, 2, FALSE)</f>
        <v>0</v>
      </c>
      <c r="K528" s="2"/>
      <c r="L528" s="2"/>
      <c r="M528">
        <f>L528 * VLOOKUP("proper", inject!A:B, 2, FALSE)</f>
        <v>0</v>
      </c>
      <c r="N528" s="2"/>
      <c r="O528" s="2"/>
      <c r="P528">
        <f>O528 * VLOOKUP("kaltaparu", inject!A:B, 2, FALSE)</f>
        <v>0</v>
      </c>
      <c r="Q528" s="2"/>
    </row>
    <row r="529" spans="1:17">
      <c r="A529">
        <v>528</v>
      </c>
      <c r="B529" t="s">
        <v>540</v>
      </c>
      <c r="C529" s="2"/>
      <c r="D529">
        <f>C529 * VLOOKUP("adipura", inject!A:B, 2, FALSE)</f>
        <v>0</v>
      </c>
      <c r="E529" s="2"/>
      <c r="F529" s="2"/>
      <c r="G529">
        <f>F529 * VLOOKUP("adiwiyata", inject!A:B, 2, FALSE)</f>
        <v>0</v>
      </c>
      <c r="H529" s="2"/>
      <c r="I529" s="2"/>
      <c r="J529">
        <f>I529 * VLOOKUP("proklim", inject!A:B, 2, FALSE)</f>
        <v>0</v>
      </c>
      <c r="K529" s="2"/>
      <c r="L529" s="2"/>
      <c r="M529">
        <f>L529 * VLOOKUP("proper", inject!A:B, 2, FALSE)</f>
        <v>0</v>
      </c>
      <c r="N529" s="2"/>
      <c r="O529" s="2"/>
      <c r="P529">
        <f>O529 * VLOOKUP("kaltaparu", inject!A:B, 2, FALSE)</f>
        <v>0</v>
      </c>
      <c r="Q529" s="2"/>
    </row>
    <row r="530" spans="1:17">
      <c r="A530">
        <v>529</v>
      </c>
      <c r="B530" t="s">
        <v>541</v>
      </c>
      <c r="C530" s="2"/>
      <c r="D530">
        <f>C530 * VLOOKUP("adipura", inject!A:B, 2, FALSE)</f>
        <v>0</v>
      </c>
      <c r="E530" s="2"/>
      <c r="F530" s="2"/>
      <c r="G530">
        <f>F530 * VLOOKUP("adiwiyata", inject!A:B, 2, FALSE)</f>
        <v>0</v>
      </c>
      <c r="H530" s="2"/>
      <c r="I530" s="2"/>
      <c r="J530">
        <f>I530 * VLOOKUP("proklim", inject!A:B, 2, FALSE)</f>
        <v>0</v>
      </c>
      <c r="K530" s="2"/>
      <c r="L530" s="2"/>
      <c r="M530">
        <f>L530 * VLOOKUP("proper", inject!A:B, 2, FALSE)</f>
        <v>0</v>
      </c>
      <c r="N530" s="2"/>
      <c r="O530" s="2"/>
      <c r="P530">
        <f>O530 * VLOOKUP("kaltaparu", inject!A:B, 2, FALSE)</f>
        <v>0</v>
      </c>
      <c r="Q530" s="2"/>
    </row>
    <row r="531" spans="1:17">
      <c r="A531">
        <v>530</v>
      </c>
      <c r="B531" t="s">
        <v>542</v>
      </c>
      <c r="C531" s="2"/>
      <c r="D531">
        <f>C531 * VLOOKUP("adipura", inject!A:B, 2, FALSE)</f>
        <v>0</v>
      </c>
      <c r="E531" s="2"/>
      <c r="F531" s="2"/>
      <c r="G531">
        <f>F531 * VLOOKUP("adiwiyata", inject!A:B, 2, FALSE)</f>
        <v>0</v>
      </c>
      <c r="H531" s="2"/>
      <c r="I531" s="2"/>
      <c r="J531">
        <f>I531 * VLOOKUP("proklim", inject!A:B, 2, FALSE)</f>
        <v>0</v>
      </c>
      <c r="K531" s="2"/>
      <c r="L531" s="2"/>
      <c r="M531">
        <f>L531 * VLOOKUP("proper", inject!A:B, 2, FALSE)</f>
        <v>0</v>
      </c>
      <c r="N531" s="2"/>
      <c r="O531" s="2"/>
      <c r="P531">
        <f>O531 * VLOOKUP("kaltaparu", inject!A:B, 2, FALSE)</f>
        <v>0</v>
      </c>
      <c r="Q531" s="2"/>
    </row>
    <row r="532" spans="1:17">
      <c r="A532">
        <v>531</v>
      </c>
      <c r="B532" t="s">
        <v>543</v>
      </c>
      <c r="C532" s="2"/>
      <c r="D532">
        <f>C532 * VLOOKUP("adipura", inject!A:B, 2, FALSE)</f>
        <v>0</v>
      </c>
      <c r="E532" s="2"/>
      <c r="F532" s="2"/>
      <c r="G532">
        <f>F532 * VLOOKUP("adiwiyata", inject!A:B, 2, FALSE)</f>
        <v>0</v>
      </c>
      <c r="H532" s="2"/>
      <c r="I532" s="2"/>
      <c r="J532">
        <f>I532 * VLOOKUP("proklim", inject!A:B, 2, FALSE)</f>
        <v>0</v>
      </c>
      <c r="K532" s="2"/>
      <c r="L532" s="2"/>
      <c r="M532">
        <f>L532 * VLOOKUP("proper", inject!A:B, 2, FALSE)</f>
        <v>0</v>
      </c>
      <c r="N532" s="2"/>
      <c r="O532" s="2"/>
      <c r="P532">
        <f>O532 * VLOOKUP("kaltaparu", inject!A:B, 2, FALSE)</f>
        <v>0</v>
      </c>
      <c r="Q532" s="2"/>
    </row>
    <row r="533" spans="1:17">
      <c r="A533">
        <v>532</v>
      </c>
      <c r="B533" t="s">
        <v>544</v>
      </c>
      <c r="C533" s="2"/>
      <c r="D533">
        <f>C533 * VLOOKUP("adipura", inject!A:B, 2, FALSE)</f>
        <v>0</v>
      </c>
      <c r="E533" s="2"/>
      <c r="F533" s="2"/>
      <c r="G533">
        <f>F533 * VLOOKUP("adiwiyata", inject!A:B, 2, FALSE)</f>
        <v>0</v>
      </c>
      <c r="H533" s="2"/>
      <c r="I533" s="2"/>
      <c r="J533">
        <f>I533 * VLOOKUP("proklim", inject!A:B, 2, FALSE)</f>
        <v>0</v>
      </c>
      <c r="K533" s="2"/>
      <c r="L533" s="2"/>
      <c r="M533">
        <f>L533 * VLOOKUP("proper", inject!A:B, 2, FALSE)</f>
        <v>0</v>
      </c>
      <c r="N533" s="2"/>
      <c r="O533" s="2"/>
      <c r="P533">
        <f>O533 * VLOOKUP("kaltaparu", inject!A:B, 2, FALSE)</f>
        <v>0</v>
      </c>
      <c r="Q533" s="2"/>
    </row>
    <row r="534" spans="1:17">
      <c r="A534">
        <v>533</v>
      </c>
      <c r="B534" t="s">
        <v>545</v>
      </c>
      <c r="C534" s="2"/>
      <c r="D534">
        <f>C534 * VLOOKUP("adipura", inject!A:B, 2, FALSE)</f>
        <v>0</v>
      </c>
      <c r="E534" s="2"/>
      <c r="F534" s="2"/>
      <c r="G534">
        <f>F534 * VLOOKUP("adiwiyata", inject!A:B, 2, FALSE)</f>
        <v>0</v>
      </c>
      <c r="H534" s="2"/>
      <c r="I534" s="2"/>
      <c r="J534">
        <f>I534 * VLOOKUP("proklim", inject!A:B, 2, FALSE)</f>
        <v>0</v>
      </c>
      <c r="K534" s="2"/>
      <c r="L534" s="2"/>
      <c r="M534">
        <f>L534 * VLOOKUP("proper", inject!A:B, 2, FALSE)</f>
        <v>0</v>
      </c>
      <c r="N534" s="2"/>
      <c r="O534" s="2"/>
      <c r="P534">
        <f>O534 * VLOOKUP("kaltaparu", inject!A:B, 2, FALSE)</f>
        <v>0</v>
      </c>
      <c r="Q534" s="2"/>
    </row>
    <row r="535" spans="1:17">
      <c r="A535">
        <v>534</v>
      </c>
      <c r="B535" t="s">
        <v>546</v>
      </c>
      <c r="C535" s="2"/>
      <c r="D535">
        <f>C535 * VLOOKUP("adipura", inject!A:B, 2, FALSE)</f>
        <v>0</v>
      </c>
      <c r="E535" s="2"/>
      <c r="F535" s="2"/>
      <c r="G535">
        <f>F535 * VLOOKUP("adiwiyata", inject!A:B, 2, FALSE)</f>
        <v>0</v>
      </c>
      <c r="H535" s="2"/>
      <c r="I535" s="2"/>
      <c r="J535">
        <f>I535 * VLOOKUP("proklim", inject!A:B, 2, FALSE)</f>
        <v>0</v>
      </c>
      <c r="K535" s="2"/>
      <c r="L535" s="2"/>
      <c r="M535">
        <f>L535 * VLOOKUP("proper", inject!A:B, 2, FALSE)</f>
        <v>0</v>
      </c>
      <c r="N535" s="2"/>
      <c r="O535" s="2"/>
      <c r="P535">
        <f>O535 * VLOOKUP("kaltaparu", inject!A:B, 2, FALSE)</f>
        <v>0</v>
      </c>
      <c r="Q535" s="2"/>
    </row>
    <row r="536" spans="1:17">
      <c r="A536">
        <v>535</v>
      </c>
      <c r="B536" t="s">
        <v>547</v>
      </c>
      <c r="C536" s="2"/>
      <c r="D536">
        <f>C536 * VLOOKUP("adipura", inject!A:B, 2, FALSE)</f>
        <v>0</v>
      </c>
      <c r="E536" s="2"/>
      <c r="F536" s="2"/>
      <c r="G536">
        <f>F536 * VLOOKUP("adiwiyata", inject!A:B, 2, FALSE)</f>
        <v>0</v>
      </c>
      <c r="H536" s="2"/>
      <c r="I536" s="2"/>
      <c r="J536">
        <f>I536 * VLOOKUP("proklim", inject!A:B, 2, FALSE)</f>
        <v>0</v>
      </c>
      <c r="K536" s="2"/>
      <c r="L536" s="2"/>
      <c r="M536">
        <f>L536 * VLOOKUP("proper", inject!A:B, 2, FALSE)</f>
        <v>0</v>
      </c>
      <c r="N536" s="2"/>
      <c r="O536" s="2"/>
      <c r="P536">
        <f>O536 * VLOOKUP("kaltaparu", inject!A:B, 2, FALSE)</f>
        <v>0</v>
      </c>
      <c r="Q536" s="2"/>
    </row>
    <row r="537" spans="1:17">
      <c r="A537">
        <v>536</v>
      </c>
      <c r="B537" t="s">
        <v>548</v>
      </c>
      <c r="C537" s="2"/>
      <c r="D537">
        <f>C537 * VLOOKUP("adipura", inject!A:B, 2, FALSE)</f>
        <v>0</v>
      </c>
      <c r="E537" s="2"/>
      <c r="F537" s="2"/>
      <c r="G537">
        <f>F537 * VLOOKUP("adiwiyata", inject!A:B, 2, FALSE)</f>
        <v>0</v>
      </c>
      <c r="H537" s="2"/>
      <c r="I537" s="2"/>
      <c r="J537">
        <f>I537 * VLOOKUP("proklim", inject!A:B, 2, FALSE)</f>
        <v>0</v>
      </c>
      <c r="K537" s="2"/>
      <c r="L537" s="2"/>
      <c r="M537">
        <f>L537 * VLOOKUP("proper", inject!A:B, 2, FALSE)</f>
        <v>0</v>
      </c>
      <c r="N537" s="2"/>
      <c r="O537" s="2"/>
      <c r="P537">
        <f>O537 * VLOOKUP("kaltaparu", inject!A:B, 2, FALSE)</f>
        <v>0</v>
      </c>
      <c r="Q537" s="2"/>
    </row>
    <row r="538" spans="1:17">
      <c r="A538">
        <v>537</v>
      </c>
      <c r="B538" t="s">
        <v>549</v>
      </c>
      <c r="C538" s="2"/>
      <c r="D538">
        <f>C538 * VLOOKUP("adipura", inject!A:B, 2, FALSE)</f>
        <v>0</v>
      </c>
      <c r="E538" s="2"/>
      <c r="F538" s="2"/>
      <c r="G538">
        <f>F538 * VLOOKUP("adiwiyata", inject!A:B, 2, FALSE)</f>
        <v>0</v>
      </c>
      <c r="H538" s="2"/>
      <c r="I538" s="2"/>
      <c r="J538">
        <f>I538 * VLOOKUP("proklim", inject!A:B, 2, FALSE)</f>
        <v>0</v>
      </c>
      <c r="K538" s="2"/>
      <c r="L538" s="2"/>
      <c r="M538">
        <f>L538 * VLOOKUP("proper", inject!A:B, 2, FALSE)</f>
        <v>0</v>
      </c>
      <c r="N538" s="2"/>
      <c r="O538" s="2"/>
      <c r="P538">
        <f>O538 * VLOOKUP("kaltaparu", inject!A:B, 2, FALSE)</f>
        <v>0</v>
      </c>
      <c r="Q538" s="2"/>
    </row>
    <row r="539" spans="1:17">
      <c r="A539">
        <v>538</v>
      </c>
      <c r="B539" t="s">
        <v>550</v>
      </c>
      <c r="C539" s="2"/>
      <c r="D539">
        <f>C539 * VLOOKUP("adipura", inject!A:B, 2, FALSE)</f>
        <v>0</v>
      </c>
      <c r="E539" s="2"/>
      <c r="F539" s="2"/>
      <c r="G539">
        <f>F539 * VLOOKUP("adiwiyata", inject!A:B, 2, FALSE)</f>
        <v>0</v>
      </c>
      <c r="H539" s="2"/>
      <c r="I539" s="2"/>
      <c r="J539">
        <f>I539 * VLOOKUP("proklim", inject!A:B, 2, FALSE)</f>
        <v>0</v>
      </c>
      <c r="K539" s="2"/>
      <c r="L539" s="2"/>
      <c r="M539">
        <f>L539 * VLOOKUP("proper", inject!A:B, 2, FALSE)</f>
        <v>0</v>
      </c>
      <c r="N539" s="2"/>
      <c r="O539" s="2"/>
      <c r="P539">
        <f>O539 * VLOOKUP("kaltaparu", inject!A:B, 2, FALSE)</f>
        <v>0</v>
      </c>
      <c r="Q539" s="2"/>
    </row>
    <row r="540" spans="1:17">
      <c r="A540">
        <v>539</v>
      </c>
      <c r="B540" t="s">
        <v>551</v>
      </c>
      <c r="C540" s="2"/>
      <c r="D540">
        <f>C540 * VLOOKUP("adipura", inject!A:B, 2, FALSE)</f>
        <v>0</v>
      </c>
      <c r="E540" s="2"/>
      <c r="F540" s="2"/>
      <c r="G540">
        <f>F540 * VLOOKUP("adiwiyata", inject!A:B, 2, FALSE)</f>
        <v>0</v>
      </c>
      <c r="H540" s="2"/>
      <c r="I540" s="2"/>
      <c r="J540">
        <f>I540 * VLOOKUP("proklim", inject!A:B, 2, FALSE)</f>
        <v>0</v>
      </c>
      <c r="K540" s="2"/>
      <c r="L540" s="2"/>
      <c r="M540">
        <f>L540 * VLOOKUP("proper", inject!A:B, 2, FALSE)</f>
        <v>0</v>
      </c>
      <c r="N540" s="2"/>
      <c r="O540" s="2"/>
      <c r="P540">
        <f>O540 * VLOOKUP("kaltaparu", inject!A:B, 2, FALSE)</f>
        <v>0</v>
      </c>
      <c r="Q540" s="2"/>
    </row>
    <row r="541" spans="1:17">
      <c r="A541">
        <v>540</v>
      </c>
      <c r="B541" t="s">
        <v>552</v>
      </c>
      <c r="C541" s="2"/>
      <c r="D541">
        <f>C541 * VLOOKUP("adipura", inject!A:B, 2, FALSE)</f>
        <v>0</v>
      </c>
      <c r="E541" s="2"/>
      <c r="F541" s="2"/>
      <c r="G541">
        <f>F541 * VLOOKUP("adiwiyata", inject!A:B, 2, FALSE)</f>
        <v>0</v>
      </c>
      <c r="H541" s="2"/>
      <c r="I541" s="2"/>
      <c r="J541">
        <f>I541 * VLOOKUP("proklim", inject!A:B, 2, FALSE)</f>
        <v>0</v>
      </c>
      <c r="K541" s="2"/>
      <c r="L541" s="2"/>
      <c r="M541">
        <f>L541 * VLOOKUP("proper", inject!A:B, 2, FALSE)</f>
        <v>0</v>
      </c>
      <c r="N541" s="2"/>
      <c r="O541" s="2"/>
      <c r="P541">
        <f>O541 * VLOOKUP("kaltaparu", inject!A:B, 2, FALSE)</f>
        <v>0</v>
      </c>
      <c r="Q541" s="2"/>
    </row>
    <row r="542" spans="1:17">
      <c r="A542">
        <v>541</v>
      </c>
      <c r="B542" t="s">
        <v>553</v>
      </c>
      <c r="C542" s="2"/>
      <c r="D542">
        <f>C542 * VLOOKUP("adipura", inject!A:B, 2, FALSE)</f>
        <v>0</v>
      </c>
      <c r="E542" s="2"/>
      <c r="F542" s="2"/>
      <c r="G542">
        <f>F542 * VLOOKUP("adiwiyata", inject!A:B, 2, FALSE)</f>
        <v>0</v>
      </c>
      <c r="H542" s="2"/>
      <c r="I542" s="2"/>
      <c r="J542">
        <f>I542 * VLOOKUP("proklim", inject!A:B, 2, FALSE)</f>
        <v>0</v>
      </c>
      <c r="K542" s="2"/>
      <c r="L542" s="2"/>
      <c r="M542">
        <f>L542 * VLOOKUP("proper", inject!A:B, 2, FALSE)</f>
        <v>0</v>
      </c>
      <c r="N542" s="2"/>
      <c r="O542" s="2"/>
      <c r="P542">
        <f>O542 * VLOOKUP("kaltaparu", inject!A:B, 2, FALSE)</f>
        <v>0</v>
      </c>
      <c r="Q542" s="2"/>
    </row>
    <row r="543" spans="1:17">
      <c r="A543">
        <v>542</v>
      </c>
      <c r="B543" t="s">
        <v>554</v>
      </c>
      <c r="C543" s="2"/>
      <c r="D543">
        <f>C543 * VLOOKUP("adipura", inject!A:B, 2, FALSE)</f>
        <v>0</v>
      </c>
      <c r="E543" s="2"/>
      <c r="F543" s="2"/>
      <c r="G543">
        <f>F543 * VLOOKUP("adiwiyata", inject!A:B, 2, FALSE)</f>
        <v>0</v>
      </c>
      <c r="H543" s="2"/>
      <c r="I543" s="2"/>
      <c r="J543">
        <f>I543 * VLOOKUP("proklim", inject!A:B, 2, FALSE)</f>
        <v>0</v>
      </c>
      <c r="K543" s="2"/>
      <c r="L543" s="2"/>
      <c r="M543">
        <f>L543 * VLOOKUP("proper", inject!A:B, 2, FALSE)</f>
        <v>0</v>
      </c>
      <c r="N543" s="2"/>
      <c r="O543" s="2"/>
      <c r="P543">
        <f>O543 * VLOOKUP("kaltaparu", inject!A:B, 2, FALSE)</f>
        <v>0</v>
      </c>
      <c r="Q543" s="2"/>
    </row>
    <row r="544" spans="1:17">
      <c r="A544">
        <v>543</v>
      </c>
      <c r="B544" t="s">
        <v>555</v>
      </c>
      <c r="C544" s="2"/>
      <c r="D544">
        <f>C544 * VLOOKUP("adipura", inject!A:B, 2, FALSE)</f>
        <v>0</v>
      </c>
      <c r="E544" s="2"/>
      <c r="F544" s="2"/>
      <c r="G544">
        <f>F544 * VLOOKUP("adiwiyata", inject!A:B, 2, FALSE)</f>
        <v>0</v>
      </c>
      <c r="H544" s="2"/>
      <c r="I544" s="2"/>
      <c r="J544">
        <f>I544 * VLOOKUP("proklim", inject!A:B, 2, FALSE)</f>
        <v>0</v>
      </c>
      <c r="K544" s="2"/>
      <c r="L544" s="2"/>
      <c r="M544">
        <f>L544 * VLOOKUP("proper", inject!A:B, 2, FALSE)</f>
        <v>0</v>
      </c>
      <c r="N544" s="2"/>
      <c r="O544" s="2"/>
      <c r="P544">
        <f>O544 * VLOOKUP("kaltaparu", inject!A:B, 2, FALSE)</f>
        <v>0</v>
      </c>
      <c r="Q544" s="2"/>
    </row>
    <row r="545" spans="1:17">
      <c r="A545">
        <v>544</v>
      </c>
      <c r="B545" t="s">
        <v>556</v>
      </c>
      <c r="C545" s="2"/>
      <c r="D545">
        <f>C545 * VLOOKUP("adipura", inject!A:B, 2, FALSE)</f>
        <v>0</v>
      </c>
      <c r="E545" s="2"/>
      <c r="F545" s="2"/>
      <c r="G545">
        <f>F545 * VLOOKUP("adiwiyata", inject!A:B, 2, FALSE)</f>
        <v>0</v>
      </c>
      <c r="H545" s="2"/>
      <c r="I545" s="2"/>
      <c r="J545">
        <f>I545 * VLOOKUP("proklim", inject!A:B, 2, FALSE)</f>
        <v>0</v>
      </c>
      <c r="K545" s="2"/>
      <c r="L545" s="2"/>
      <c r="M545">
        <f>L545 * VLOOKUP("proper", inject!A:B, 2, FALSE)</f>
        <v>0</v>
      </c>
      <c r="N545" s="2"/>
      <c r="O545" s="2"/>
      <c r="P545">
        <f>O545 * VLOOKUP("kaltaparu", inject!A:B, 2, FALSE)</f>
        <v>0</v>
      </c>
      <c r="Q545" s="2"/>
    </row>
    <row r="546" spans="1:17">
      <c r="A546">
        <v>545</v>
      </c>
      <c r="B546" t="s">
        <v>557</v>
      </c>
      <c r="C546" s="2"/>
      <c r="D546">
        <f>C546 * VLOOKUP("adipura", inject!A:B, 2, FALSE)</f>
        <v>0</v>
      </c>
      <c r="E546" s="2"/>
      <c r="F546" s="2"/>
      <c r="G546">
        <f>F546 * VLOOKUP("adiwiyata", inject!A:B, 2, FALSE)</f>
        <v>0</v>
      </c>
      <c r="H546" s="2"/>
      <c r="I546" s="2"/>
      <c r="J546">
        <f>I546 * VLOOKUP("proklim", inject!A:B, 2, FALSE)</f>
        <v>0</v>
      </c>
      <c r="K546" s="2"/>
      <c r="L546" s="2"/>
      <c r="M546">
        <f>L546 * VLOOKUP("proper", inject!A:B, 2, FALSE)</f>
        <v>0</v>
      </c>
      <c r="N546" s="2"/>
      <c r="O546" s="2"/>
      <c r="P546">
        <f>O546 * VLOOKUP("kaltaparu", inject!A:B, 2, FALSE)</f>
        <v>0</v>
      </c>
      <c r="Q546" s="2"/>
    </row>
    <row r="547" spans="1:17">
      <c r="A547">
        <v>546</v>
      </c>
      <c r="B547" t="s">
        <v>558</v>
      </c>
      <c r="C547" s="2"/>
      <c r="D547">
        <f>C547 * VLOOKUP("adipura", inject!A:B, 2, FALSE)</f>
        <v>0</v>
      </c>
      <c r="E547" s="2"/>
      <c r="F547" s="2"/>
      <c r="G547">
        <f>F547 * VLOOKUP("adiwiyata", inject!A:B, 2, FALSE)</f>
        <v>0</v>
      </c>
      <c r="H547" s="2"/>
      <c r="I547" s="2"/>
      <c r="J547">
        <f>I547 * VLOOKUP("proklim", inject!A:B, 2, FALSE)</f>
        <v>0</v>
      </c>
      <c r="K547" s="2"/>
      <c r="L547" s="2"/>
      <c r="M547">
        <f>L547 * VLOOKUP("proper", inject!A:B, 2, FALSE)</f>
        <v>0</v>
      </c>
      <c r="N547" s="2"/>
      <c r="O547" s="2"/>
      <c r="P547">
        <f>O547 * VLOOKUP("kaltaparu", inject!A:B, 2, FALSE)</f>
        <v>0</v>
      </c>
      <c r="Q547" s="2"/>
    </row>
    <row r="548" spans="1:17">
      <c r="A548">
        <v>547</v>
      </c>
      <c r="B548" t="s">
        <v>559</v>
      </c>
      <c r="C548" s="2"/>
      <c r="D548">
        <f>C548 * VLOOKUP("adipura", inject!A:B, 2, FALSE)</f>
        <v>0</v>
      </c>
      <c r="E548" s="2"/>
      <c r="F548" s="2"/>
      <c r="G548">
        <f>F548 * VLOOKUP("adiwiyata", inject!A:B, 2, FALSE)</f>
        <v>0</v>
      </c>
      <c r="H548" s="2"/>
      <c r="I548" s="2"/>
      <c r="J548">
        <f>I548 * VLOOKUP("proklim", inject!A:B, 2, FALSE)</f>
        <v>0</v>
      </c>
      <c r="K548" s="2"/>
      <c r="L548" s="2"/>
      <c r="M548">
        <f>L548 * VLOOKUP("proper", inject!A:B, 2, FALSE)</f>
        <v>0</v>
      </c>
      <c r="N548" s="2"/>
      <c r="O548" s="2"/>
      <c r="P548">
        <f>O548 * VLOOKUP("kaltaparu", inject!A:B, 2, FALSE)</f>
        <v>0</v>
      </c>
      <c r="Q548" s="2"/>
    </row>
    <row r="549" spans="1:17">
      <c r="A549">
        <v>548</v>
      </c>
      <c r="B549" t="s">
        <v>560</v>
      </c>
      <c r="C549" s="2"/>
      <c r="D549">
        <f>C549 * VLOOKUP("adipura", inject!A:B, 2, FALSE)</f>
        <v>0</v>
      </c>
      <c r="E549" s="2"/>
      <c r="F549" s="2"/>
      <c r="G549">
        <f>F549 * VLOOKUP("adiwiyata", inject!A:B, 2, FALSE)</f>
        <v>0</v>
      </c>
      <c r="H549" s="2"/>
      <c r="I549" s="2"/>
      <c r="J549">
        <f>I549 * VLOOKUP("proklim", inject!A:B, 2, FALSE)</f>
        <v>0</v>
      </c>
      <c r="K549" s="2"/>
      <c r="L549" s="2"/>
      <c r="M549">
        <f>L549 * VLOOKUP("proper", inject!A:B, 2, FALSE)</f>
        <v>0</v>
      </c>
      <c r="N549" s="2"/>
      <c r="O549" s="2"/>
      <c r="P549">
        <f>O549 * VLOOKUP("kaltaparu", inject!A:B, 2, FALSE)</f>
        <v>0</v>
      </c>
      <c r="Q549" s="2"/>
    </row>
    <row r="550" spans="1:17">
      <c r="A550">
        <v>549</v>
      </c>
      <c r="B550" t="s">
        <v>561</v>
      </c>
      <c r="C550" s="2"/>
      <c r="D550">
        <f>C550 * VLOOKUP("adipura", inject!A:B, 2, FALSE)</f>
        <v>0</v>
      </c>
      <c r="E550" s="2"/>
      <c r="F550" s="2"/>
      <c r="G550">
        <f>F550 * VLOOKUP("adiwiyata", inject!A:B, 2, FALSE)</f>
        <v>0</v>
      </c>
      <c r="H550" s="2"/>
      <c r="I550" s="2"/>
      <c r="J550">
        <f>I550 * VLOOKUP("proklim", inject!A:B, 2, FALSE)</f>
        <v>0</v>
      </c>
      <c r="K550" s="2"/>
      <c r="L550" s="2"/>
      <c r="M550">
        <f>L550 * VLOOKUP("proper", inject!A:B, 2, FALSE)</f>
        <v>0</v>
      </c>
      <c r="N550" s="2"/>
      <c r="O550" s="2"/>
      <c r="P550">
        <f>O550 * VLOOKUP("kaltaparu", inject!A:B, 2, FALSE)</f>
        <v>0</v>
      </c>
      <c r="Q550" s="2"/>
    </row>
    <row r="551" spans="1:17">
      <c r="A551">
        <v>550</v>
      </c>
      <c r="B551" t="s">
        <v>562</v>
      </c>
      <c r="C551" s="2"/>
      <c r="D551">
        <f>C551 * VLOOKUP("adipura", inject!A:B, 2, FALSE)</f>
        <v>0</v>
      </c>
      <c r="E551" s="2"/>
      <c r="F551" s="2"/>
      <c r="G551">
        <f>F551 * VLOOKUP("adiwiyata", inject!A:B, 2, FALSE)</f>
        <v>0</v>
      </c>
      <c r="H551" s="2"/>
      <c r="I551" s="2"/>
      <c r="J551">
        <f>I551 * VLOOKUP("proklim", inject!A:B, 2, FALSE)</f>
        <v>0</v>
      </c>
      <c r="K551" s="2"/>
      <c r="L551" s="2"/>
      <c r="M551">
        <f>L551 * VLOOKUP("proper", inject!A:B, 2, FALSE)</f>
        <v>0</v>
      </c>
      <c r="N551" s="2"/>
      <c r="O551" s="2"/>
      <c r="P551">
        <f>O551 * VLOOKUP("kaltaparu", inject!A:B, 2, FALSE)</f>
        <v>0</v>
      </c>
      <c r="Q551" s="2"/>
    </row>
    <row r="552" spans="1:17">
      <c r="A552">
        <v>551</v>
      </c>
      <c r="B552" t="s">
        <v>563</v>
      </c>
      <c r="C552" s="2"/>
      <c r="D552">
        <f>C552 * VLOOKUP("adipura", inject!A:B, 2, FALSE)</f>
        <v>0</v>
      </c>
      <c r="E552" s="2"/>
      <c r="F552" s="2"/>
      <c r="G552">
        <f>F552 * VLOOKUP("adiwiyata", inject!A:B, 2, FALSE)</f>
        <v>0</v>
      </c>
      <c r="H552" s="2"/>
      <c r="I552" s="2"/>
      <c r="J552">
        <f>I552 * VLOOKUP("proklim", inject!A:B, 2, FALSE)</f>
        <v>0</v>
      </c>
      <c r="K552" s="2"/>
      <c r="L552" s="2"/>
      <c r="M552">
        <f>L552 * VLOOKUP("proper", inject!A:B, 2, FALSE)</f>
        <v>0</v>
      </c>
      <c r="N552" s="2"/>
      <c r="O552" s="2"/>
      <c r="P552">
        <f>O552 * VLOOKUP("kaltaparu", inject!A:B, 2, FALSE)</f>
        <v>0</v>
      </c>
      <c r="Q552" s="2"/>
    </row>
    <row r="553" spans="1:17">
      <c r="A553">
        <v>552</v>
      </c>
      <c r="B553" t="s">
        <v>543</v>
      </c>
      <c r="C553" s="2"/>
      <c r="D553">
        <f>C553 * VLOOKUP("adipura", inject!A:B, 2, FALSE)</f>
        <v>0</v>
      </c>
      <c r="E553" s="2"/>
      <c r="F553" s="2"/>
      <c r="G553">
        <f>F553 * VLOOKUP("adiwiyata", inject!A:B, 2, FALSE)</f>
        <v>0</v>
      </c>
      <c r="H553" s="2"/>
      <c r="I553" s="2"/>
      <c r="J553">
        <f>I553 * VLOOKUP("proklim", inject!A:B, 2, FALSE)</f>
        <v>0</v>
      </c>
      <c r="K553" s="2"/>
      <c r="L553" s="2"/>
      <c r="M553">
        <f>L553 * VLOOKUP("proper", inject!A:B, 2, FALSE)</f>
        <v>0</v>
      </c>
      <c r="N553" s="2"/>
      <c r="O553" s="2"/>
      <c r="P553">
        <f>O553 * VLOOKUP("kaltaparu", inject!A:B, 2, FALSE)</f>
        <v>0</v>
      </c>
      <c r="Q553" s="2"/>
    </row>
    <row r="554" spans="1:17">
      <c r="A554">
        <v>553</v>
      </c>
      <c r="B554" t="s">
        <v>546</v>
      </c>
      <c r="C554" s="2"/>
      <c r="D554">
        <f>C554 * VLOOKUP("adipura", inject!A:B, 2, FALSE)</f>
        <v>0</v>
      </c>
      <c r="E554" s="2"/>
      <c r="F554" s="2"/>
      <c r="G554">
        <f>F554 * VLOOKUP("adiwiyata", inject!A:B, 2, FALSE)</f>
        <v>0</v>
      </c>
      <c r="H554" s="2"/>
      <c r="I554" s="2"/>
      <c r="J554">
        <f>I554 * VLOOKUP("proklim", inject!A:B, 2, FALSE)</f>
        <v>0</v>
      </c>
      <c r="K554" s="2"/>
      <c r="L554" s="2"/>
      <c r="M554">
        <f>L554 * VLOOKUP("proper", inject!A:B, 2, FALSE)</f>
        <v>0</v>
      </c>
      <c r="N554" s="2"/>
      <c r="O554" s="2"/>
      <c r="P554">
        <f>O554 * VLOOKUP("kaltaparu", inject!A:B, 2, FALSE)</f>
        <v>0</v>
      </c>
      <c r="Q554" s="2"/>
    </row>
    <row r="555" spans="1:17">
      <c r="A555">
        <v>554</v>
      </c>
      <c r="B555" t="s">
        <v>548</v>
      </c>
      <c r="C555" s="2"/>
      <c r="D555">
        <f>C555 * VLOOKUP("adipura", inject!A:B, 2, FALSE)</f>
        <v>0</v>
      </c>
      <c r="E555" s="2"/>
      <c r="F555" s="2"/>
      <c r="G555">
        <f>F555 * VLOOKUP("adiwiyata", inject!A:B, 2, FALSE)</f>
        <v>0</v>
      </c>
      <c r="H555" s="2"/>
      <c r="I555" s="2"/>
      <c r="J555">
        <f>I555 * VLOOKUP("proklim", inject!A:B, 2, FALSE)</f>
        <v>0</v>
      </c>
      <c r="K555" s="2"/>
      <c r="L555" s="2"/>
      <c r="M555">
        <f>L555 * VLOOKUP("proper", inject!A:B, 2, FALSE)</f>
        <v>0</v>
      </c>
      <c r="N555" s="2"/>
      <c r="O555" s="2"/>
      <c r="P555">
        <f>O555 * VLOOKUP("kaltaparu", inject!A:B, 2, FALSE)</f>
        <v>0</v>
      </c>
      <c r="Q555" s="2"/>
    </row>
    <row r="556" spans="1:17">
      <c r="A556">
        <v>555</v>
      </c>
      <c r="B556" t="s">
        <v>553</v>
      </c>
      <c r="C556" s="2"/>
      <c r="D556">
        <f>C556 * VLOOKUP("adipura", inject!A:B, 2, FALSE)</f>
        <v>0</v>
      </c>
      <c r="E556" s="2"/>
      <c r="F556" s="2"/>
      <c r="G556">
        <f>F556 * VLOOKUP("adiwiyata", inject!A:B, 2, FALSE)</f>
        <v>0</v>
      </c>
      <c r="H556" s="2"/>
      <c r="I556" s="2"/>
      <c r="J556">
        <f>I556 * VLOOKUP("proklim", inject!A:B, 2, FALSE)</f>
        <v>0</v>
      </c>
      <c r="K556" s="2"/>
      <c r="L556" s="2"/>
      <c r="M556">
        <f>L556 * VLOOKUP("proper", inject!A:B, 2, FALSE)</f>
        <v>0</v>
      </c>
      <c r="N556" s="2"/>
      <c r="O556" s="2"/>
      <c r="P556">
        <f>O556 * VLOOKUP("kaltaparu", inject!A:B, 2, FALSE)</f>
        <v>0</v>
      </c>
      <c r="Q556" s="2"/>
    </row>
    <row r="557" spans="1:17">
      <c r="A557">
        <v>556</v>
      </c>
      <c r="B557" t="s">
        <v>555</v>
      </c>
      <c r="C557" s="2"/>
      <c r="D557">
        <f>C557 * VLOOKUP("adipura", inject!A:B, 2, FALSE)</f>
        <v>0</v>
      </c>
      <c r="E557" s="2"/>
      <c r="F557" s="2"/>
      <c r="G557">
        <f>F557 * VLOOKUP("adiwiyata", inject!A:B, 2, FALSE)</f>
        <v>0</v>
      </c>
      <c r="H557" s="2"/>
      <c r="I557" s="2"/>
      <c r="J557">
        <f>I557 * VLOOKUP("proklim", inject!A:B, 2, FALSE)</f>
        <v>0</v>
      </c>
      <c r="K557" s="2"/>
      <c r="L557" s="2"/>
      <c r="M557">
        <f>L557 * VLOOKUP("proper", inject!A:B, 2, FALSE)</f>
        <v>0</v>
      </c>
      <c r="N557" s="2"/>
      <c r="O557" s="2"/>
      <c r="P557">
        <f>O557 * VLOOKUP("kaltaparu", inject!A:B, 2, FALSE)</f>
        <v>0</v>
      </c>
      <c r="Q557" s="2"/>
    </row>
    <row r="558" spans="1:17">
      <c r="A558">
        <v>557</v>
      </c>
      <c r="B558" t="s">
        <v>560</v>
      </c>
      <c r="C558" s="2"/>
      <c r="D558">
        <f>C558 * VLOOKUP("adipura", inject!A:B, 2, FALSE)</f>
        <v>0</v>
      </c>
      <c r="E558" s="2"/>
      <c r="F558" s="2"/>
      <c r="G558">
        <f>F558 * VLOOKUP("adiwiyata", inject!A:B, 2, FALSE)</f>
        <v>0</v>
      </c>
      <c r="H558" s="2"/>
      <c r="I558" s="2"/>
      <c r="J558">
        <f>I558 * VLOOKUP("proklim", inject!A:B, 2, FALSE)</f>
        <v>0</v>
      </c>
      <c r="K558" s="2"/>
      <c r="L558" s="2"/>
      <c r="M558">
        <f>L558 * VLOOKUP("proper", inject!A:B, 2, FALSE)</f>
        <v>0</v>
      </c>
      <c r="N558" s="2"/>
      <c r="O558" s="2"/>
      <c r="P558">
        <f>O558 * VLOOKUP("kaltaparu", inject!A:B, 2, FALSE)</f>
        <v>0</v>
      </c>
      <c r="Q558" s="2"/>
    </row>
    <row r="559" spans="1:17">
      <c r="A559">
        <v>558</v>
      </c>
      <c r="B559" t="s">
        <v>562</v>
      </c>
      <c r="C559" s="2"/>
      <c r="D559">
        <f>C559 * VLOOKUP("adipura", inject!A:B, 2, FALSE)</f>
        <v>0</v>
      </c>
      <c r="E559" s="2"/>
      <c r="F559" s="2"/>
      <c r="G559">
        <f>F559 * VLOOKUP("adiwiyata", inject!A:B, 2, FALSE)</f>
        <v>0</v>
      </c>
      <c r="H559" s="2"/>
      <c r="I559" s="2"/>
      <c r="J559">
        <f>I559 * VLOOKUP("proklim", inject!A:B, 2, FALSE)</f>
        <v>0</v>
      </c>
      <c r="K559" s="2"/>
      <c r="L559" s="2"/>
      <c r="M559">
        <f>L559 * VLOOKUP("proper", inject!A:B, 2, FALSE)</f>
        <v>0</v>
      </c>
      <c r="N559" s="2"/>
      <c r="O559" s="2"/>
      <c r="P559">
        <f>O559 * VLOOKUP("kaltaparu", inject!A:B, 2, FALSE)</f>
        <v>0</v>
      </c>
      <c r="Q559" s="2"/>
    </row>
    <row r="560" spans="1:17">
      <c r="A560">
        <v>559</v>
      </c>
      <c r="B560" t="s">
        <v>564</v>
      </c>
      <c r="C560" s="2"/>
      <c r="D560">
        <f>C560 * VLOOKUP("adipura", inject!A:B, 2, FALSE)</f>
        <v>0</v>
      </c>
      <c r="E560" s="2"/>
      <c r="F560" s="2"/>
      <c r="G560">
        <f>F560 * VLOOKUP("adiwiyata", inject!A:B, 2, FALSE)</f>
        <v>0</v>
      </c>
      <c r="H560" s="2"/>
      <c r="I560" s="2"/>
      <c r="J560">
        <f>I560 * VLOOKUP("proklim", inject!A:B, 2, FALSE)</f>
        <v>0</v>
      </c>
      <c r="K560" s="2"/>
      <c r="L560" s="2"/>
      <c r="M560">
        <f>L560 * VLOOKUP("proper", inject!A:B, 2, FALSE)</f>
        <v>0</v>
      </c>
      <c r="N560" s="2"/>
      <c r="O560" s="2"/>
      <c r="P560">
        <f>O560 * VLOOKUP("kaltaparu", inject!A:B, 2, FALSE)</f>
        <v>0</v>
      </c>
      <c r="Q560" s="2"/>
    </row>
    <row r="561" spans="1:17">
      <c r="A561">
        <v>560</v>
      </c>
      <c r="B561" t="s">
        <v>536</v>
      </c>
      <c r="C561" s="2"/>
      <c r="D561">
        <f>C561 * VLOOKUP("adipura", inject!A:B, 2, FALSE)</f>
        <v>0</v>
      </c>
      <c r="E561" s="2"/>
      <c r="F561" s="2"/>
      <c r="G561">
        <f>F561 * VLOOKUP("adiwiyata", inject!A:B, 2, FALSE)</f>
        <v>0</v>
      </c>
      <c r="H561" s="2"/>
      <c r="I561" s="2"/>
      <c r="J561">
        <f>I561 * VLOOKUP("proklim", inject!A:B, 2, FALSE)</f>
        <v>0</v>
      </c>
      <c r="K561" s="2"/>
      <c r="L561" s="2"/>
      <c r="M561">
        <f>L561 * VLOOKUP("proper", inject!A:B, 2, FALSE)</f>
        <v>0</v>
      </c>
      <c r="N561" s="2"/>
      <c r="O561" s="2"/>
      <c r="P561">
        <f>O561 * VLOOKUP("kaltaparu", inject!A:B, 2, FALSE)</f>
        <v>0</v>
      </c>
      <c r="Q561" s="2"/>
    </row>
    <row r="562" spans="1:17">
      <c r="A562">
        <v>561</v>
      </c>
      <c r="B562" t="s">
        <v>538</v>
      </c>
      <c r="C562" s="2"/>
      <c r="D562">
        <f>C562 * VLOOKUP("adipura", inject!A:B, 2, FALSE)</f>
        <v>0</v>
      </c>
      <c r="E562" s="2"/>
      <c r="F562" s="2"/>
      <c r="G562">
        <f>F562 * VLOOKUP("adiwiyata", inject!A:B, 2, FALSE)</f>
        <v>0</v>
      </c>
      <c r="H562" s="2"/>
      <c r="I562" s="2"/>
      <c r="J562">
        <f>I562 * VLOOKUP("proklim", inject!A:B, 2, FALSE)</f>
        <v>0</v>
      </c>
      <c r="K562" s="2"/>
      <c r="L562" s="2"/>
      <c r="M562">
        <f>L562 * VLOOKUP("proper", inject!A:B, 2, FALSE)</f>
        <v>0</v>
      </c>
      <c r="N562" s="2"/>
      <c r="O562" s="2"/>
      <c r="P562">
        <f>O562 * VLOOKUP("kaltaparu", inject!A:B, 2, FALSE)</f>
        <v>0</v>
      </c>
      <c r="Q562" s="2"/>
    </row>
    <row r="563" spans="1:17">
      <c r="A563">
        <v>562</v>
      </c>
      <c r="B563" t="s">
        <v>549</v>
      </c>
      <c r="C563" s="2"/>
      <c r="D563">
        <f>C563 * VLOOKUP("adipura", inject!A:B, 2, FALSE)</f>
        <v>0</v>
      </c>
      <c r="E563" s="2"/>
      <c r="F563" s="2"/>
      <c r="G563">
        <f>F563 * VLOOKUP("adiwiyata", inject!A:B, 2, FALSE)</f>
        <v>0</v>
      </c>
      <c r="H563" s="2"/>
      <c r="I563" s="2"/>
      <c r="J563">
        <f>I563 * VLOOKUP("proklim", inject!A:B, 2, FALSE)</f>
        <v>0</v>
      </c>
      <c r="K563" s="2"/>
      <c r="L563" s="2"/>
      <c r="M563">
        <f>L563 * VLOOKUP("proper", inject!A:B, 2, FALSE)</f>
        <v>0</v>
      </c>
      <c r="N563" s="2"/>
      <c r="O563" s="2"/>
      <c r="P563">
        <f>O563 * VLOOKUP("kaltaparu", inject!A:B, 2, FALSE)</f>
        <v>0</v>
      </c>
      <c r="Q563" s="2"/>
    </row>
    <row r="564" spans="1:17">
      <c r="A564">
        <v>563</v>
      </c>
      <c r="B564" t="s">
        <v>550</v>
      </c>
      <c r="C564" s="2"/>
      <c r="D564">
        <f>C564 * VLOOKUP("adipura", inject!A:B, 2, FALSE)</f>
        <v>0</v>
      </c>
      <c r="E564" s="2"/>
      <c r="F564" s="2"/>
      <c r="G564">
        <f>F564 * VLOOKUP("adiwiyata", inject!A:B, 2, FALSE)</f>
        <v>0</v>
      </c>
      <c r="H564" s="2"/>
      <c r="I564" s="2"/>
      <c r="J564">
        <f>I564 * VLOOKUP("proklim", inject!A:B, 2, FALSE)</f>
        <v>0</v>
      </c>
      <c r="K564" s="2"/>
      <c r="L564" s="2"/>
      <c r="M564">
        <f>L564 * VLOOKUP("proper", inject!A:B, 2, FALSE)</f>
        <v>0</v>
      </c>
      <c r="N564" s="2"/>
      <c r="O564" s="2"/>
      <c r="P564">
        <f>O564 * VLOOKUP("kaltaparu", inject!A:B, 2, FALSE)</f>
        <v>0</v>
      </c>
      <c r="Q564" s="2"/>
    </row>
    <row r="565" spans="1:17">
      <c r="A565">
        <v>564</v>
      </c>
      <c r="B565" t="s">
        <v>539</v>
      </c>
      <c r="C565" s="2"/>
      <c r="D565">
        <f>C565 * VLOOKUP("adipura", inject!A:B, 2, FALSE)</f>
        <v>0</v>
      </c>
      <c r="E565" s="2"/>
      <c r="F565" s="2"/>
      <c r="G565">
        <f>F565 * VLOOKUP("adiwiyata", inject!A:B, 2, FALSE)</f>
        <v>0</v>
      </c>
      <c r="H565" s="2"/>
      <c r="I565" s="2"/>
      <c r="J565">
        <f>I565 * VLOOKUP("proklim", inject!A:B, 2, FALSE)</f>
        <v>0</v>
      </c>
      <c r="K565" s="2"/>
      <c r="L565" s="2"/>
      <c r="M565">
        <f>L565 * VLOOKUP("proper", inject!A:B, 2, FALSE)</f>
        <v>0</v>
      </c>
      <c r="N565" s="2"/>
      <c r="O565" s="2"/>
      <c r="P565">
        <f>O565 * VLOOKUP("kaltaparu", inject!A:B, 2, FALSE)</f>
        <v>0</v>
      </c>
      <c r="Q565" s="2"/>
    </row>
    <row r="566" spans="1:17">
      <c r="A566">
        <v>565</v>
      </c>
      <c r="B566" t="s">
        <v>540</v>
      </c>
      <c r="C566" s="2"/>
      <c r="D566">
        <f>C566 * VLOOKUP("adipura", inject!A:B, 2, FALSE)</f>
        <v>0</v>
      </c>
      <c r="E566" s="2"/>
      <c r="F566" s="2"/>
      <c r="G566">
        <f>F566 * VLOOKUP("adiwiyata", inject!A:B, 2, FALSE)</f>
        <v>0</v>
      </c>
      <c r="H566" s="2"/>
      <c r="I566" s="2"/>
      <c r="J566">
        <f>I566 * VLOOKUP("proklim", inject!A:B, 2, FALSE)</f>
        <v>0</v>
      </c>
      <c r="K566" s="2"/>
      <c r="L566" s="2"/>
      <c r="M566">
        <f>L566 * VLOOKUP("proper", inject!A:B, 2, FALSE)</f>
        <v>0</v>
      </c>
      <c r="N566" s="2"/>
      <c r="O566" s="2"/>
      <c r="P566">
        <f>O566 * VLOOKUP("kaltaparu", inject!A:B, 2, FALSE)</f>
        <v>0</v>
      </c>
      <c r="Q566" s="2"/>
    </row>
    <row r="567" spans="1:17">
      <c r="A567">
        <v>566</v>
      </c>
      <c r="B567" t="s">
        <v>541</v>
      </c>
      <c r="C567" s="2"/>
      <c r="D567">
        <f>C567 * VLOOKUP("adipura", inject!A:B, 2, FALSE)</f>
        <v>0</v>
      </c>
      <c r="E567" s="2"/>
      <c r="F567" s="2"/>
      <c r="G567">
        <f>F567 * VLOOKUP("adiwiyata", inject!A:B, 2, FALSE)</f>
        <v>0</v>
      </c>
      <c r="H567" s="2"/>
      <c r="I567" s="2"/>
      <c r="J567">
        <f>I567 * VLOOKUP("proklim", inject!A:B, 2, FALSE)</f>
        <v>0</v>
      </c>
      <c r="K567" s="2"/>
      <c r="L567" s="2"/>
      <c r="M567">
        <f>L567 * VLOOKUP("proper", inject!A:B, 2, FALSE)</f>
        <v>0</v>
      </c>
      <c r="N567" s="2"/>
      <c r="O567" s="2"/>
      <c r="P567">
        <f>O567 * VLOOKUP("kaltaparu", inject!A:B, 2, FALSE)</f>
        <v>0</v>
      </c>
      <c r="Q567" s="2"/>
    </row>
    <row r="568" spans="1:17">
      <c r="A568">
        <v>567</v>
      </c>
      <c r="B568" t="s">
        <v>551</v>
      </c>
      <c r="C568" s="2"/>
      <c r="D568">
        <f>C568 * VLOOKUP("adipura", inject!A:B, 2, FALSE)</f>
        <v>0</v>
      </c>
      <c r="E568" s="2"/>
      <c r="F568" s="2"/>
      <c r="G568">
        <f>F568 * VLOOKUP("adiwiyata", inject!A:B, 2, FALSE)</f>
        <v>0</v>
      </c>
      <c r="H568" s="2"/>
      <c r="I568" s="2"/>
      <c r="J568">
        <f>I568 * VLOOKUP("proklim", inject!A:B, 2, FALSE)</f>
        <v>0</v>
      </c>
      <c r="K568" s="2"/>
      <c r="L568" s="2"/>
      <c r="M568">
        <f>L568 * VLOOKUP("proper", inject!A:B, 2, FALSE)</f>
        <v>0</v>
      </c>
      <c r="N568" s="2"/>
      <c r="O568" s="2"/>
      <c r="P568">
        <f>O568 * VLOOKUP("kaltaparu", inject!A:B, 2, FALSE)</f>
        <v>0</v>
      </c>
      <c r="Q568" s="2"/>
    </row>
    <row r="569" spans="1:17">
      <c r="A569">
        <v>568</v>
      </c>
      <c r="B569" t="s">
        <v>552</v>
      </c>
      <c r="C569" s="2"/>
      <c r="D569">
        <f>C569 * VLOOKUP("adipura", inject!A:B, 2, FALSE)</f>
        <v>0</v>
      </c>
      <c r="E569" s="2"/>
      <c r="F569" s="2"/>
      <c r="G569">
        <f>F569 * VLOOKUP("adiwiyata", inject!A:B, 2, FALSE)</f>
        <v>0</v>
      </c>
      <c r="H569" s="2"/>
      <c r="I569" s="2"/>
      <c r="J569">
        <f>I569 * VLOOKUP("proklim", inject!A:B, 2, FALSE)</f>
        <v>0</v>
      </c>
      <c r="K569" s="2"/>
      <c r="L569" s="2"/>
      <c r="M569">
        <f>L569 * VLOOKUP("proper", inject!A:B, 2, FALSE)</f>
        <v>0</v>
      </c>
      <c r="N569" s="2"/>
      <c r="O569" s="2"/>
      <c r="P569">
        <f>O569 * VLOOKUP("kaltaparu", inject!A:B, 2, FALSE)</f>
        <v>0</v>
      </c>
      <c r="Q569" s="2"/>
    </row>
    <row r="570" spans="1:17">
      <c r="A570">
        <v>569</v>
      </c>
      <c r="B570" t="s">
        <v>554</v>
      </c>
      <c r="C570" s="2"/>
      <c r="D570">
        <f>C570 * VLOOKUP("adipura", inject!A:B, 2, FALSE)</f>
        <v>0</v>
      </c>
      <c r="E570" s="2"/>
      <c r="F570" s="2"/>
      <c r="G570">
        <f>F570 * VLOOKUP("adiwiyata", inject!A:B, 2, FALSE)</f>
        <v>0</v>
      </c>
      <c r="H570" s="2"/>
      <c r="I570" s="2"/>
      <c r="J570">
        <f>I570 * VLOOKUP("proklim", inject!A:B, 2, FALSE)</f>
        <v>0</v>
      </c>
      <c r="K570" s="2"/>
      <c r="L570" s="2"/>
      <c r="M570">
        <f>L570 * VLOOKUP("proper", inject!A:B, 2, FALSE)</f>
        <v>0</v>
      </c>
      <c r="N570" s="2"/>
      <c r="O570" s="2"/>
      <c r="P570">
        <f>O570 * VLOOKUP("kaltaparu", inject!A:B, 2, FALSE)</f>
        <v>0</v>
      </c>
      <c r="Q570" s="2"/>
    </row>
    <row r="571" spans="1:17">
      <c r="A571">
        <v>570</v>
      </c>
      <c r="B571" t="s">
        <v>556</v>
      </c>
      <c r="C571" s="2"/>
      <c r="D571">
        <f>C571 * VLOOKUP("adipura", inject!A:B, 2, FALSE)</f>
        <v>0</v>
      </c>
      <c r="E571" s="2"/>
      <c r="F571" s="2"/>
      <c r="G571">
        <f>F571 * VLOOKUP("adiwiyata", inject!A:B, 2, FALSE)</f>
        <v>0</v>
      </c>
      <c r="H571" s="2"/>
      <c r="I571" s="2"/>
      <c r="J571">
        <f>I571 * VLOOKUP("proklim", inject!A:B, 2, FALSE)</f>
        <v>0</v>
      </c>
      <c r="K571" s="2"/>
      <c r="L571" s="2"/>
      <c r="M571">
        <f>L571 * VLOOKUP("proper", inject!A:B, 2, FALSE)</f>
        <v>0</v>
      </c>
      <c r="N571" s="2"/>
      <c r="O571" s="2"/>
      <c r="P571">
        <f>O571 * VLOOKUP("kaltaparu", inject!A:B, 2, FALSE)</f>
        <v>0</v>
      </c>
      <c r="Q571" s="2"/>
    </row>
    <row r="572" spans="1:17">
      <c r="A572">
        <v>571</v>
      </c>
      <c r="B572" t="s">
        <v>557</v>
      </c>
      <c r="C572" s="2"/>
      <c r="D572">
        <f>C572 * VLOOKUP("adipura", inject!A:B, 2, FALSE)</f>
        <v>0</v>
      </c>
      <c r="E572" s="2"/>
      <c r="F572" s="2"/>
      <c r="G572">
        <f>F572 * VLOOKUP("adiwiyata", inject!A:B, 2, FALSE)</f>
        <v>0</v>
      </c>
      <c r="H572" s="2"/>
      <c r="I572" s="2"/>
      <c r="J572">
        <f>I572 * VLOOKUP("proklim", inject!A:B, 2, FALSE)</f>
        <v>0</v>
      </c>
      <c r="K572" s="2"/>
      <c r="L572" s="2"/>
      <c r="M572">
        <f>L572 * VLOOKUP("proper", inject!A:B, 2, FALSE)</f>
        <v>0</v>
      </c>
      <c r="N572" s="2"/>
      <c r="O572" s="2"/>
      <c r="P572">
        <f>O572 * VLOOKUP("kaltaparu", inject!A:B, 2, FALSE)</f>
        <v>0</v>
      </c>
      <c r="Q572" s="2"/>
    </row>
    <row r="573" spans="1:17">
      <c r="A573">
        <v>572</v>
      </c>
      <c r="B573" t="s">
        <v>523</v>
      </c>
      <c r="C573" s="2"/>
      <c r="D573">
        <f>C573 * VLOOKUP("adipura", inject!A:B, 2, FALSE)</f>
        <v>0</v>
      </c>
      <c r="E573" s="2"/>
      <c r="F573" s="2"/>
      <c r="G573">
        <f>F573 * VLOOKUP("adiwiyata", inject!A:B, 2, FALSE)</f>
        <v>0</v>
      </c>
      <c r="H573" s="2"/>
      <c r="I573" s="2"/>
      <c r="J573">
        <f>I573 * VLOOKUP("proklim", inject!A:B, 2, FALSE)</f>
        <v>0</v>
      </c>
      <c r="K573" s="2"/>
      <c r="L573" s="2"/>
      <c r="M573">
        <f>L573 * VLOOKUP("proper", inject!A:B, 2, FALSE)</f>
        <v>0</v>
      </c>
      <c r="N573" s="2"/>
      <c r="O573" s="2"/>
      <c r="P573">
        <f>O573 * VLOOKUP("kaltaparu", inject!A:B, 2, FALSE)</f>
        <v>0</v>
      </c>
      <c r="Q573" s="2"/>
    </row>
    <row r="574" spans="1:17">
      <c r="A574">
        <v>573</v>
      </c>
      <c r="B574" t="s">
        <v>524</v>
      </c>
      <c r="C574" s="2"/>
      <c r="D574">
        <f>C574 * VLOOKUP("adipura", inject!A:B, 2, FALSE)</f>
        <v>0</v>
      </c>
      <c r="E574" s="2"/>
      <c r="F574" s="2"/>
      <c r="G574">
        <f>F574 * VLOOKUP("adiwiyata", inject!A:B, 2, FALSE)</f>
        <v>0</v>
      </c>
      <c r="H574" s="2"/>
      <c r="I574" s="2"/>
      <c r="J574">
        <f>I574 * VLOOKUP("proklim", inject!A:B, 2, FALSE)</f>
        <v>0</v>
      </c>
      <c r="K574" s="2"/>
      <c r="L574" s="2"/>
      <c r="M574">
        <f>L574 * VLOOKUP("proper", inject!A:B, 2, FALSE)</f>
        <v>0</v>
      </c>
      <c r="N574" s="2"/>
      <c r="O574" s="2"/>
      <c r="P574">
        <f>O574 * VLOOKUP("kaltaparu", inject!A:B, 2, FALSE)</f>
        <v>0</v>
      </c>
      <c r="Q574" s="2"/>
    </row>
    <row r="575" spans="1:17">
      <c r="A575">
        <v>574</v>
      </c>
      <c r="B575" t="s">
        <v>527</v>
      </c>
      <c r="C575" s="2"/>
      <c r="D575">
        <f>C575 * VLOOKUP("adipura", inject!A:B, 2, FALSE)</f>
        <v>0</v>
      </c>
      <c r="E575" s="2"/>
      <c r="F575" s="2"/>
      <c r="G575">
        <f>F575 * VLOOKUP("adiwiyata", inject!A:B, 2, FALSE)</f>
        <v>0</v>
      </c>
      <c r="H575" s="2"/>
      <c r="I575" s="2"/>
      <c r="J575">
        <f>I575 * VLOOKUP("proklim", inject!A:B, 2, FALSE)</f>
        <v>0</v>
      </c>
      <c r="K575" s="2"/>
      <c r="L575" s="2"/>
      <c r="M575">
        <f>L575 * VLOOKUP("proper", inject!A:B, 2, FALSE)</f>
        <v>0</v>
      </c>
      <c r="N575" s="2"/>
      <c r="O575" s="2"/>
      <c r="P575">
        <f>O575 * VLOOKUP("kaltaparu", inject!A:B, 2, FALSE)</f>
        <v>0</v>
      </c>
      <c r="Q575" s="2"/>
    </row>
    <row r="576" spans="1:17">
      <c r="A576">
        <v>575</v>
      </c>
      <c r="B576" t="s">
        <v>529</v>
      </c>
      <c r="C576" s="2"/>
      <c r="D576">
        <f>C576 * VLOOKUP("adipura", inject!A:B, 2, FALSE)</f>
        <v>0</v>
      </c>
      <c r="E576" s="2"/>
      <c r="F576" s="2"/>
      <c r="G576">
        <f>F576 * VLOOKUP("adiwiyata", inject!A:B, 2, FALSE)</f>
        <v>0</v>
      </c>
      <c r="H576" s="2"/>
      <c r="I576" s="2"/>
      <c r="J576">
        <f>I576 * VLOOKUP("proklim", inject!A:B, 2, FALSE)</f>
        <v>0</v>
      </c>
      <c r="K576" s="2"/>
      <c r="L576" s="2"/>
      <c r="M576">
        <f>L576 * VLOOKUP("proper", inject!A:B, 2, FALSE)</f>
        <v>0</v>
      </c>
      <c r="N576" s="2"/>
      <c r="O576" s="2"/>
      <c r="P576">
        <f>O576 * VLOOKUP("kaltaparu", inject!A:B, 2, FALSE)</f>
        <v>0</v>
      </c>
      <c r="Q576" s="2"/>
    </row>
    <row r="577" spans="1:17">
      <c r="A577">
        <v>576</v>
      </c>
      <c r="B577" t="s">
        <v>531</v>
      </c>
      <c r="C577" s="2"/>
      <c r="D577">
        <f>C577 * VLOOKUP("adipura", inject!A:B, 2, FALSE)</f>
        <v>0</v>
      </c>
      <c r="E577" s="2"/>
      <c r="F577" s="2"/>
      <c r="G577">
        <f>F577 * VLOOKUP("adiwiyata", inject!A:B, 2, FALSE)</f>
        <v>0</v>
      </c>
      <c r="H577" s="2"/>
      <c r="I577" s="2"/>
      <c r="J577">
        <f>I577 * VLOOKUP("proklim", inject!A:B, 2, FALSE)</f>
        <v>0</v>
      </c>
      <c r="K577" s="2"/>
      <c r="L577" s="2"/>
      <c r="M577">
        <f>L577 * VLOOKUP("proper", inject!A:B, 2, FALSE)</f>
        <v>0</v>
      </c>
      <c r="N577" s="2"/>
      <c r="O577" s="2"/>
      <c r="P577">
        <f>O577 * VLOOKUP("kaltaparu", inject!A:B, 2, FALSE)</f>
        <v>0</v>
      </c>
      <c r="Q577" s="2"/>
    </row>
  </sheetData>
  <sheetProtection password="DF21" sheet="1"/>
  <mergeCells>
    <mergeCell ref="A1:A2"/>
    <mergeCell ref="B1:B2"/>
    <mergeCell ref="C1:E1"/>
    <mergeCell ref="F1:H1"/>
    <mergeCell ref="I1:K1"/>
    <mergeCell ref="L1:N1"/>
    <mergeCell ref="O1:Q1"/>
  </mergeCells>
  <dataValidations count="2875">
    <dataValidation type="decimal" errorStyle="stop" operator="lessThanOrEqual" allowBlank="1" showDropDown="1" showInputMessage="0" showErrorMessage="1" error="Skor tidak boleh melebihi skor maksimum!" sqref="E3">
      <formula1>D3</formula1>
    </dataValidation>
    <dataValidation type="decimal" errorStyle="stop" operator="lessThanOrEqual" allowBlank="1" showDropDown="1" showInputMessage="0" showErrorMessage="1" error="Skor tidak boleh melebihi skor maksimum!" sqref="H3">
      <formula1>G3</formula1>
    </dataValidation>
    <dataValidation type="decimal" errorStyle="stop" operator="lessThanOrEqual" allowBlank="1" showDropDown="1" showInputMessage="0" showErrorMessage="1" error="Skor tidak boleh melebihi skor maksimum!" sqref="K3">
      <formula1>J3</formula1>
    </dataValidation>
    <dataValidation type="decimal" errorStyle="stop" operator="lessThanOrEqual" allowBlank="1" showDropDown="1" showInputMessage="0" showErrorMessage="1" error="Skor tidak boleh melebihi skor maksimum!" sqref="N3">
      <formula1>M3</formula1>
    </dataValidation>
    <dataValidation type="decimal" errorStyle="stop" operator="lessThanOrEqual" allowBlank="1" showDropDown="1" showInputMessage="0" showErrorMessage="1" error="Skor tidak boleh melebihi skor maksimum!" sqref="Q3">
      <formula1>P3</formula1>
    </dataValidation>
    <dataValidation type="decimal" errorStyle="stop" operator="lessThanOrEqual" allowBlank="1" showDropDown="1" showInputMessage="0" showErrorMessage="1" error="Skor tidak boleh melebihi skor maksimum!" sqref="E4">
      <formula1>D4</formula1>
    </dataValidation>
    <dataValidation type="decimal" errorStyle="stop" operator="lessThanOrEqual" allowBlank="1" showDropDown="1" showInputMessage="0" showErrorMessage="1" error="Skor tidak boleh melebihi skor maksimum!" sqref="H4">
      <formula1>G4</formula1>
    </dataValidation>
    <dataValidation type="decimal" errorStyle="stop" operator="lessThanOrEqual" allowBlank="1" showDropDown="1" showInputMessage="0" showErrorMessage="1" error="Skor tidak boleh melebihi skor maksimum!" sqref="K4">
      <formula1>J4</formula1>
    </dataValidation>
    <dataValidation type="decimal" errorStyle="stop" operator="lessThanOrEqual" allowBlank="1" showDropDown="1" showInputMessage="0" showErrorMessage="1" error="Skor tidak boleh melebihi skor maksimum!" sqref="N4">
      <formula1>M4</formula1>
    </dataValidation>
    <dataValidation type="decimal" errorStyle="stop" operator="lessThanOrEqual" allowBlank="1" showDropDown="1" showInputMessage="0" showErrorMessage="1" error="Skor tidak boleh melebihi skor maksimum!" sqref="Q4">
      <formula1>P4</formula1>
    </dataValidation>
    <dataValidation type="decimal" errorStyle="stop" operator="lessThanOrEqual" allowBlank="1" showDropDown="1" showInputMessage="0" showErrorMessage="1" error="Skor tidak boleh melebihi skor maksimum!" sqref="E5">
      <formula1>D5</formula1>
    </dataValidation>
    <dataValidation type="decimal" errorStyle="stop" operator="lessThanOrEqual" allowBlank="1" showDropDown="1" showInputMessage="0" showErrorMessage="1" error="Skor tidak boleh melebihi skor maksimum!" sqref="H5">
      <formula1>G5</formula1>
    </dataValidation>
    <dataValidation type="decimal" errorStyle="stop" operator="lessThanOrEqual" allowBlank="1" showDropDown="1" showInputMessage="0" showErrorMessage="1" error="Skor tidak boleh melebihi skor maksimum!" sqref="K5">
      <formula1>J5</formula1>
    </dataValidation>
    <dataValidation type="decimal" errorStyle="stop" operator="lessThanOrEqual" allowBlank="1" showDropDown="1" showInputMessage="0" showErrorMessage="1" error="Skor tidak boleh melebihi skor maksimum!" sqref="N5">
      <formula1>M5</formula1>
    </dataValidation>
    <dataValidation type="decimal" errorStyle="stop" operator="lessThanOrEqual" allowBlank="1" showDropDown="1" showInputMessage="0" showErrorMessage="1" error="Skor tidak boleh melebihi skor maksimum!" sqref="Q5">
      <formula1>P5</formula1>
    </dataValidation>
    <dataValidation type="decimal" errorStyle="stop" operator="lessThanOrEqual" allowBlank="1" showDropDown="1" showInputMessage="0" showErrorMessage="1" error="Skor tidak boleh melebihi skor maksimum!" sqref="E6">
      <formula1>D6</formula1>
    </dataValidation>
    <dataValidation type="decimal" errorStyle="stop" operator="lessThanOrEqual" allowBlank="1" showDropDown="1" showInputMessage="0" showErrorMessage="1" error="Skor tidak boleh melebihi skor maksimum!" sqref="H6">
      <formula1>G6</formula1>
    </dataValidation>
    <dataValidation type="decimal" errorStyle="stop" operator="lessThanOrEqual" allowBlank="1" showDropDown="1" showInputMessage="0" showErrorMessage="1" error="Skor tidak boleh melebihi skor maksimum!" sqref="K6">
      <formula1>J6</formula1>
    </dataValidation>
    <dataValidation type="decimal" errorStyle="stop" operator="lessThanOrEqual" allowBlank="1" showDropDown="1" showInputMessage="0" showErrorMessage="1" error="Skor tidak boleh melebihi skor maksimum!" sqref="N6">
      <formula1>M6</formula1>
    </dataValidation>
    <dataValidation type="decimal" errorStyle="stop" operator="lessThanOrEqual" allowBlank="1" showDropDown="1" showInputMessage="0" showErrorMessage="1" error="Skor tidak boleh melebihi skor maksimum!" sqref="Q6">
      <formula1>P6</formula1>
    </dataValidation>
    <dataValidation type="decimal" errorStyle="stop" operator="lessThanOrEqual" allowBlank="1" showDropDown="1" showInputMessage="0" showErrorMessage="1" error="Skor tidak boleh melebihi skor maksimum!" sqref="E7">
      <formula1>D7</formula1>
    </dataValidation>
    <dataValidation type="decimal" errorStyle="stop" operator="lessThanOrEqual" allowBlank="1" showDropDown="1" showInputMessage="0" showErrorMessage="1" error="Skor tidak boleh melebihi skor maksimum!" sqref="H7">
      <formula1>G7</formula1>
    </dataValidation>
    <dataValidation type="decimal" errorStyle="stop" operator="lessThanOrEqual" allowBlank="1" showDropDown="1" showInputMessage="0" showErrorMessage="1" error="Skor tidak boleh melebihi skor maksimum!" sqref="K7">
      <formula1>J7</formula1>
    </dataValidation>
    <dataValidation type="decimal" errorStyle="stop" operator="lessThanOrEqual" allowBlank="1" showDropDown="1" showInputMessage="0" showErrorMessage="1" error="Skor tidak boleh melebihi skor maksimum!" sqref="N7">
      <formula1>M7</formula1>
    </dataValidation>
    <dataValidation type="decimal" errorStyle="stop" operator="lessThanOrEqual" allowBlank="1" showDropDown="1" showInputMessage="0" showErrorMessage="1" error="Skor tidak boleh melebihi skor maksimum!" sqref="Q7">
      <formula1>P7</formula1>
    </dataValidation>
    <dataValidation type="decimal" errorStyle="stop" operator="lessThanOrEqual" allowBlank="1" showDropDown="1" showInputMessage="0" showErrorMessage="1" error="Skor tidak boleh melebihi skor maksimum!" sqref="E8">
      <formula1>D8</formula1>
    </dataValidation>
    <dataValidation type="decimal" errorStyle="stop" operator="lessThanOrEqual" allowBlank="1" showDropDown="1" showInputMessage="0" showErrorMessage="1" error="Skor tidak boleh melebihi skor maksimum!" sqref="H8">
      <formula1>G8</formula1>
    </dataValidation>
    <dataValidation type="decimal" errorStyle="stop" operator="lessThanOrEqual" allowBlank="1" showDropDown="1" showInputMessage="0" showErrorMessage="1" error="Skor tidak boleh melebihi skor maksimum!" sqref="K8">
      <formula1>J8</formula1>
    </dataValidation>
    <dataValidation type="decimal" errorStyle="stop" operator="lessThanOrEqual" allowBlank="1" showDropDown="1" showInputMessage="0" showErrorMessage="1" error="Skor tidak boleh melebihi skor maksimum!" sqref="N8">
      <formula1>M8</formula1>
    </dataValidation>
    <dataValidation type="decimal" errorStyle="stop" operator="lessThanOrEqual" allowBlank="1" showDropDown="1" showInputMessage="0" showErrorMessage="1" error="Skor tidak boleh melebihi skor maksimum!" sqref="Q8">
      <formula1>P8</formula1>
    </dataValidation>
    <dataValidation type="decimal" errorStyle="stop" operator="lessThanOrEqual" allowBlank="1" showDropDown="1" showInputMessage="0" showErrorMessage="1" error="Skor tidak boleh melebihi skor maksimum!" sqref="E9">
      <formula1>D9</formula1>
    </dataValidation>
    <dataValidation type="decimal" errorStyle="stop" operator="lessThanOrEqual" allowBlank="1" showDropDown="1" showInputMessage="0" showErrorMessage="1" error="Skor tidak boleh melebihi skor maksimum!" sqref="H9">
      <formula1>G9</formula1>
    </dataValidation>
    <dataValidation type="decimal" errorStyle="stop" operator="lessThanOrEqual" allowBlank="1" showDropDown="1" showInputMessage="0" showErrorMessage="1" error="Skor tidak boleh melebihi skor maksimum!" sqref="K9">
      <formula1>J9</formula1>
    </dataValidation>
    <dataValidation type="decimal" errorStyle="stop" operator="lessThanOrEqual" allowBlank="1" showDropDown="1" showInputMessage="0" showErrorMessage="1" error="Skor tidak boleh melebihi skor maksimum!" sqref="N9">
      <formula1>M9</formula1>
    </dataValidation>
    <dataValidation type="decimal" errorStyle="stop" operator="lessThanOrEqual" allowBlank="1" showDropDown="1" showInputMessage="0" showErrorMessage="1" error="Skor tidak boleh melebihi skor maksimum!" sqref="Q9">
      <formula1>P9</formula1>
    </dataValidation>
    <dataValidation type="decimal" errorStyle="stop" operator="lessThanOrEqual" allowBlank="1" showDropDown="1" showInputMessage="0" showErrorMessage="1" error="Skor tidak boleh melebihi skor maksimum!" sqref="E10">
      <formula1>D10</formula1>
    </dataValidation>
    <dataValidation type="decimal" errorStyle="stop" operator="lessThanOrEqual" allowBlank="1" showDropDown="1" showInputMessage="0" showErrorMessage="1" error="Skor tidak boleh melebihi skor maksimum!" sqref="H10">
      <formula1>G10</formula1>
    </dataValidation>
    <dataValidation type="decimal" errorStyle="stop" operator="lessThanOrEqual" allowBlank="1" showDropDown="1" showInputMessage="0" showErrorMessage="1" error="Skor tidak boleh melebihi skor maksimum!" sqref="K10">
      <formula1>J10</formula1>
    </dataValidation>
    <dataValidation type="decimal" errorStyle="stop" operator="lessThanOrEqual" allowBlank="1" showDropDown="1" showInputMessage="0" showErrorMessage="1" error="Skor tidak boleh melebihi skor maksimum!" sqref="N10">
      <formula1>M10</formula1>
    </dataValidation>
    <dataValidation type="decimal" errorStyle="stop" operator="lessThanOrEqual" allowBlank="1" showDropDown="1" showInputMessage="0" showErrorMessage="1" error="Skor tidak boleh melebihi skor maksimum!" sqref="Q10">
      <formula1>P10</formula1>
    </dataValidation>
    <dataValidation type="decimal" errorStyle="stop" operator="lessThanOrEqual" allowBlank="1" showDropDown="1" showInputMessage="0" showErrorMessage="1" error="Skor tidak boleh melebihi skor maksimum!" sqref="E11">
      <formula1>D11</formula1>
    </dataValidation>
    <dataValidation type="decimal" errorStyle="stop" operator="lessThanOrEqual" allowBlank="1" showDropDown="1" showInputMessage="0" showErrorMessage="1" error="Skor tidak boleh melebihi skor maksimum!" sqref="H11">
      <formula1>G11</formula1>
    </dataValidation>
    <dataValidation type="decimal" errorStyle="stop" operator="lessThanOrEqual" allowBlank="1" showDropDown="1" showInputMessage="0" showErrorMessage="1" error="Skor tidak boleh melebihi skor maksimum!" sqref="K11">
      <formula1>J11</formula1>
    </dataValidation>
    <dataValidation type="decimal" errorStyle="stop" operator="lessThanOrEqual" allowBlank="1" showDropDown="1" showInputMessage="0" showErrorMessage="1" error="Skor tidak boleh melebihi skor maksimum!" sqref="N11">
      <formula1>M11</formula1>
    </dataValidation>
    <dataValidation type="decimal" errorStyle="stop" operator="lessThanOrEqual" allowBlank="1" showDropDown="1" showInputMessage="0" showErrorMessage="1" error="Skor tidak boleh melebihi skor maksimum!" sqref="Q11">
      <formula1>P11</formula1>
    </dataValidation>
    <dataValidation type="decimal" errorStyle="stop" operator="lessThanOrEqual" allowBlank="1" showDropDown="1" showInputMessage="0" showErrorMessage="1" error="Skor tidak boleh melebihi skor maksimum!" sqref="E12">
      <formula1>D12</formula1>
    </dataValidation>
    <dataValidation type="decimal" errorStyle="stop" operator="lessThanOrEqual" allowBlank="1" showDropDown="1" showInputMessage="0" showErrorMessage="1" error="Skor tidak boleh melebihi skor maksimum!" sqref="H12">
      <formula1>G12</formula1>
    </dataValidation>
    <dataValidation type="decimal" errorStyle="stop" operator="lessThanOrEqual" allowBlank="1" showDropDown="1" showInputMessage="0" showErrorMessage="1" error="Skor tidak boleh melebihi skor maksimum!" sqref="K12">
      <formula1>J12</formula1>
    </dataValidation>
    <dataValidation type="decimal" errorStyle="stop" operator="lessThanOrEqual" allowBlank="1" showDropDown="1" showInputMessage="0" showErrorMessage="1" error="Skor tidak boleh melebihi skor maksimum!" sqref="N12">
      <formula1>M12</formula1>
    </dataValidation>
    <dataValidation type="decimal" errorStyle="stop" operator="lessThanOrEqual" allowBlank="1" showDropDown="1" showInputMessage="0" showErrorMessage="1" error="Skor tidak boleh melebihi skor maksimum!" sqref="Q12">
      <formula1>P12</formula1>
    </dataValidation>
    <dataValidation type="decimal" errorStyle="stop" operator="lessThanOrEqual" allowBlank="1" showDropDown="1" showInputMessage="0" showErrorMessage="1" error="Skor tidak boleh melebihi skor maksimum!" sqref="E13">
      <formula1>D13</formula1>
    </dataValidation>
    <dataValidation type="decimal" errorStyle="stop" operator="lessThanOrEqual" allowBlank="1" showDropDown="1" showInputMessage="0" showErrorMessage="1" error="Skor tidak boleh melebihi skor maksimum!" sqref="H13">
      <formula1>G13</formula1>
    </dataValidation>
    <dataValidation type="decimal" errorStyle="stop" operator="lessThanOrEqual" allowBlank="1" showDropDown="1" showInputMessage="0" showErrorMessage="1" error="Skor tidak boleh melebihi skor maksimum!" sqref="K13">
      <formula1>J13</formula1>
    </dataValidation>
    <dataValidation type="decimal" errorStyle="stop" operator="lessThanOrEqual" allowBlank="1" showDropDown="1" showInputMessage="0" showErrorMessage="1" error="Skor tidak boleh melebihi skor maksimum!" sqref="N13">
      <formula1>M13</formula1>
    </dataValidation>
    <dataValidation type="decimal" errorStyle="stop" operator="lessThanOrEqual" allowBlank="1" showDropDown="1" showInputMessage="0" showErrorMessage="1" error="Skor tidak boleh melebihi skor maksimum!" sqref="Q13">
      <formula1>P13</formula1>
    </dataValidation>
    <dataValidation type="decimal" errorStyle="stop" operator="lessThanOrEqual" allowBlank="1" showDropDown="1" showInputMessage="0" showErrorMessage="1" error="Skor tidak boleh melebihi skor maksimum!" sqref="E14">
      <formula1>D14</formula1>
    </dataValidation>
    <dataValidation type="decimal" errorStyle="stop" operator="lessThanOrEqual" allowBlank="1" showDropDown="1" showInputMessage="0" showErrorMessage="1" error="Skor tidak boleh melebihi skor maksimum!" sqref="H14">
      <formula1>G14</formula1>
    </dataValidation>
    <dataValidation type="decimal" errorStyle="stop" operator="lessThanOrEqual" allowBlank="1" showDropDown="1" showInputMessage="0" showErrorMessage="1" error="Skor tidak boleh melebihi skor maksimum!" sqref="K14">
      <formula1>J14</formula1>
    </dataValidation>
    <dataValidation type="decimal" errorStyle="stop" operator="lessThanOrEqual" allowBlank="1" showDropDown="1" showInputMessage="0" showErrorMessage="1" error="Skor tidak boleh melebihi skor maksimum!" sqref="N14">
      <formula1>M14</formula1>
    </dataValidation>
    <dataValidation type="decimal" errorStyle="stop" operator="lessThanOrEqual" allowBlank="1" showDropDown="1" showInputMessage="0" showErrorMessage="1" error="Skor tidak boleh melebihi skor maksimum!" sqref="Q14">
      <formula1>P14</formula1>
    </dataValidation>
    <dataValidation type="decimal" errorStyle="stop" operator="lessThanOrEqual" allowBlank="1" showDropDown="1" showInputMessage="0" showErrorMessage="1" error="Skor tidak boleh melebihi skor maksimum!" sqref="E15">
      <formula1>D15</formula1>
    </dataValidation>
    <dataValidation type="decimal" errorStyle="stop" operator="lessThanOrEqual" allowBlank="1" showDropDown="1" showInputMessage="0" showErrorMessage="1" error="Skor tidak boleh melebihi skor maksimum!" sqref="H15">
      <formula1>G15</formula1>
    </dataValidation>
    <dataValidation type="decimal" errorStyle="stop" operator="lessThanOrEqual" allowBlank="1" showDropDown="1" showInputMessage="0" showErrorMessage="1" error="Skor tidak boleh melebihi skor maksimum!" sqref="K15">
      <formula1>J15</formula1>
    </dataValidation>
    <dataValidation type="decimal" errorStyle="stop" operator="lessThanOrEqual" allowBlank="1" showDropDown="1" showInputMessage="0" showErrorMessage="1" error="Skor tidak boleh melebihi skor maksimum!" sqref="N15">
      <formula1>M15</formula1>
    </dataValidation>
    <dataValidation type="decimal" errorStyle="stop" operator="lessThanOrEqual" allowBlank="1" showDropDown="1" showInputMessage="0" showErrorMessage="1" error="Skor tidak boleh melebihi skor maksimum!" sqref="Q15">
      <formula1>P15</formula1>
    </dataValidation>
    <dataValidation type="decimal" errorStyle="stop" operator="lessThanOrEqual" allowBlank="1" showDropDown="1" showInputMessage="0" showErrorMessage="1" error="Skor tidak boleh melebihi skor maksimum!" sqref="E16">
      <formula1>D16</formula1>
    </dataValidation>
    <dataValidation type="decimal" errorStyle="stop" operator="lessThanOrEqual" allowBlank="1" showDropDown="1" showInputMessage="0" showErrorMessage="1" error="Skor tidak boleh melebihi skor maksimum!" sqref="H16">
      <formula1>G16</formula1>
    </dataValidation>
    <dataValidation type="decimal" errorStyle="stop" operator="lessThanOrEqual" allowBlank="1" showDropDown="1" showInputMessage="0" showErrorMessage="1" error="Skor tidak boleh melebihi skor maksimum!" sqref="K16">
      <formula1>J16</formula1>
    </dataValidation>
    <dataValidation type="decimal" errorStyle="stop" operator="lessThanOrEqual" allowBlank="1" showDropDown="1" showInputMessage="0" showErrorMessage="1" error="Skor tidak boleh melebihi skor maksimum!" sqref="N16">
      <formula1>M16</formula1>
    </dataValidation>
    <dataValidation type="decimal" errorStyle="stop" operator="lessThanOrEqual" allowBlank="1" showDropDown="1" showInputMessage="0" showErrorMessage="1" error="Skor tidak boleh melebihi skor maksimum!" sqref="Q16">
      <formula1>P16</formula1>
    </dataValidation>
    <dataValidation type="decimal" errorStyle="stop" operator="lessThanOrEqual" allowBlank="1" showDropDown="1" showInputMessage="0" showErrorMessage="1" error="Skor tidak boleh melebihi skor maksimum!" sqref="E17">
      <formula1>D17</formula1>
    </dataValidation>
    <dataValidation type="decimal" errorStyle="stop" operator="lessThanOrEqual" allowBlank="1" showDropDown="1" showInputMessage="0" showErrorMessage="1" error="Skor tidak boleh melebihi skor maksimum!" sqref="H17">
      <formula1>G17</formula1>
    </dataValidation>
    <dataValidation type="decimal" errorStyle="stop" operator="lessThanOrEqual" allowBlank="1" showDropDown="1" showInputMessage="0" showErrorMessage="1" error="Skor tidak boleh melebihi skor maksimum!" sqref="K17">
      <formula1>J17</formula1>
    </dataValidation>
    <dataValidation type="decimal" errorStyle="stop" operator="lessThanOrEqual" allowBlank="1" showDropDown="1" showInputMessage="0" showErrorMessage="1" error="Skor tidak boleh melebihi skor maksimum!" sqref="N17">
      <formula1>M17</formula1>
    </dataValidation>
    <dataValidation type="decimal" errorStyle="stop" operator="lessThanOrEqual" allowBlank="1" showDropDown="1" showInputMessage="0" showErrorMessage="1" error="Skor tidak boleh melebihi skor maksimum!" sqref="Q17">
      <formula1>P17</formula1>
    </dataValidation>
    <dataValidation type="decimal" errorStyle="stop" operator="lessThanOrEqual" allowBlank="1" showDropDown="1" showInputMessage="0" showErrorMessage="1" error="Skor tidak boleh melebihi skor maksimum!" sqref="E18">
      <formula1>D18</formula1>
    </dataValidation>
    <dataValidation type="decimal" errorStyle="stop" operator="lessThanOrEqual" allowBlank="1" showDropDown="1" showInputMessage="0" showErrorMessage="1" error="Skor tidak boleh melebihi skor maksimum!" sqref="H18">
      <formula1>G18</formula1>
    </dataValidation>
    <dataValidation type="decimal" errorStyle="stop" operator="lessThanOrEqual" allowBlank="1" showDropDown="1" showInputMessage="0" showErrorMessage="1" error="Skor tidak boleh melebihi skor maksimum!" sqref="K18">
      <formula1>J18</formula1>
    </dataValidation>
    <dataValidation type="decimal" errorStyle="stop" operator="lessThanOrEqual" allowBlank="1" showDropDown="1" showInputMessage="0" showErrorMessage="1" error="Skor tidak boleh melebihi skor maksimum!" sqref="N18">
      <formula1>M18</formula1>
    </dataValidation>
    <dataValidation type="decimal" errorStyle="stop" operator="lessThanOrEqual" allowBlank="1" showDropDown="1" showInputMessage="0" showErrorMessage="1" error="Skor tidak boleh melebihi skor maksimum!" sqref="Q18">
      <formula1>P18</formula1>
    </dataValidation>
    <dataValidation type="decimal" errorStyle="stop" operator="lessThanOrEqual" allowBlank="1" showDropDown="1" showInputMessage="0" showErrorMessage="1" error="Skor tidak boleh melebihi skor maksimum!" sqref="E19">
      <formula1>D19</formula1>
    </dataValidation>
    <dataValidation type="decimal" errorStyle="stop" operator="lessThanOrEqual" allowBlank="1" showDropDown="1" showInputMessage="0" showErrorMessage="1" error="Skor tidak boleh melebihi skor maksimum!" sqref="H19">
      <formula1>G19</formula1>
    </dataValidation>
    <dataValidation type="decimal" errorStyle="stop" operator="lessThanOrEqual" allowBlank="1" showDropDown="1" showInputMessage="0" showErrorMessage="1" error="Skor tidak boleh melebihi skor maksimum!" sqref="K19">
      <formula1>J19</formula1>
    </dataValidation>
    <dataValidation type="decimal" errorStyle="stop" operator="lessThanOrEqual" allowBlank="1" showDropDown="1" showInputMessage="0" showErrorMessage="1" error="Skor tidak boleh melebihi skor maksimum!" sqref="N19">
      <formula1>M19</formula1>
    </dataValidation>
    <dataValidation type="decimal" errorStyle="stop" operator="lessThanOrEqual" allowBlank="1" showDropDown="1" showInputMessage="0" showErrorMessage="1" error="Skor tidak boleh melebihi skor maksimum!" sqref="Q19">
      <formula1>P19</formula1>
    </dataValidation>
    <dataValidation type="decimal" errorStyle="stop" operator="lessThanOrEqual" allowBlank="1" showDropDown="1" showInputMessage="0" showErrorMessage="1" error="Skor tidak boleh melebihi skor maksimum!" sqref="E20">
      <formula1>D20</formula1>
    </dataValidation>
    <dataValidation type="decimal" errorStyle="stop" operator="lessThanOrEqual" allowBlank="1" showDropDown="1" showInputMessage="0" showErrorMessage="1" error="Skor tidak boleh melebihi skor maksimum!" sqref="H20">
      <formula1>G20</formula1>
    </dataValidation>
    <dataValidation type="decimal" errorStyle="stop" operator="lessThanOrEqual" allowBlank="1" showDropDown="1" showInputMessage="0" showErrorMessage="1" error="Skor tidak boleh melebihi skor maksimum!" sqref="K20">
      <formula1>J20</formula1>
    </dataValidation>
    <dataValidation type="decimal" errorStyle="stop" operator="lessThanOrEqual" allowBlank="1" showDropDown="1" showInputMessage="0" showErrorMessage="1" error="Skor tidak boleh melebihi skor maksimum!" sqref="N20">
      <formula1>M20</formula1>
    </dataValidation>
    <dataValidation type="decimal" errorStyle="stop" operator="lessThanOrEqual" allowBlank="1" showDropDown="1" showInputMessage="0" showErrorMessage="1" error="Skor tidak boleh melebihi skor maksimum!" sqref="Q20">
      <formula1>P20</formula1>
    </dataValidation>
    <dataValidation type="decimal" errorStyle="stop" operator="lessThanOrEqual" allowBlank="1" showDropDown="1" showInputMessage="0" showErrorMessage="1" error="Skor tidak boleh melebihi skor maksimum!" sqref="E21">
      <formula1>D21</formula1>
    </dataValidation>
    <dataValidation type="decimal" errorStyle="stop" operator="lessThanOrEqual" allowBlank="1" showDropDown="1" showInputMessage="0" showErrorMessage="1" error="Skor tidak boleh melebihi skor maksimum!" sqref="H21">
      <formula1>G21</formula1>
    </dataValidation>
    <dataValidation type="decimal" errorStyle="stop" operator="lessThanOrEqual" allowBlank="1" showDropDown="1" showInputMessage="0" showErrorMessage="1" error="Skor tidak boleh melebihi skor maksimum!" sqref="K21">
      <formula1>J21</formula1>
    </dataValidation>
    <dataValidation type="decimal" errorStyle="stop" operator="lessThanOrEqual" allowBlank="1" showDropDown="1" showInputMessage="0" showErrorMessage="1" error="Skor tidak boleh melebihi skor maksimum!" sqref="N21">
      <formula1>M21</formula1>
    </dataValidation>
    <dataValidation type="decimal" errorStyle="stop" operator="lessThanOrEqual" allowBlank="1" showDropDown="1" showInputMessage="0" showErrorMessage="1" error="Skor tidak boleh melebihi skor maksimum!" sqref="Q21">
      <formula1>P21</formula1>
    </dataValidation>
    <dataValidation type="decimal" errorStyle="stop" operator="lessThanOrEqual" allowBlank="1" showDropDown="1" showInputMessage="0" showErrorMessage="1" error="Skor tidak boleh melebihi skor maksimum!" sqref="E22">
      <formula1>D22</formula1>
    </dataValidation>
    <dataValidation type="decimal" errorStyle="stop" operator="lessThanOrEqual" allowBlank="1" showDropDown="1" showInputMessage="0" showErrorMessage="1" error="Skor tidak boleh melebihi skor maksimum!" sqref="H22">
      <formula1>G22</formula1>
    </dataValidation>
    <dataValidation type="decimal" errorStyle="stop" operator="lessThanOrEqual" allowBlank="1" showDropDown="1" showInputMessage="0" showErrorMessage="1" error="Skor tidak boleh melebihi skor maksimum!" sqref="K22">
      <formula1>J22</formula1>
    </dataValidation>
    <dataValidation type="decimal" errorStyle="stop" operator="lessThanOrEqual" allowBlank="1" showDropDown="1" showInputMessage="0" showErrorMessage="1" error="Skor tidak boleh melebihi skor maksimum!" sqref="N22">
      <formula1>M22</formula1>
    </dataValidation>
    <dataValidation type="decimal" errorStyle="stop" operator="lessThanOrEqual" allowBlank="1" showDropDown="1" showInputMessage="0" showErrorMessage="1" error="Skor tidak boleh melebihi skor maksimum!" sqref="Q22">
      <formula1>P22</formula1>
    </dataValidation>
    <dataValidation type="decimal" errorStyle="stop" operator="lessThanOrEqual" allowBlank="1" showDropDown="1" showInputMessage="0" showErrorMessage="1" error="Skor tidak boleh melebihi skor maksimum!" sqref="E23">
      <formula1>D23</formula1>
    </dataValidation>
    <dataValidation type="decimal" errorStyle="stop" operator="lessThanOrEqual" allowBlank="1" showDropDown="1" showInputMessage="0" showErrorMessage="1" error="Skor tidak boleh melebihi skor maksimum!" sqref="H23">
      <formula1>G23</formula1>
    </dataValidation>
    <dataValidation type="decimal" errorStyle="stop" operator="lessThanOrEqual" allowBlank="1" showDropDown="1" showInputMessage="0" showErrorMessage="1" error="Skor tidak boleh melebihi skor maksimum!" sqref="K23">
      <formula1>J23</formula1>
    </dataValidation>
    <dataValidation type="decimal" errorStyle="stop" operator="lessThanOrEqual" allowBlank="1" showDropDown="1" showInputMessage="0" showErrorMessage="1" error="Skor tidak boleh melebihi skor maksimum!" sqref="N23">
      <formula1>M23</formula1>
    </dataValidation>
    <dataValidation type="decimal" errorStyle="stop" operator="lessThanOrEqual" allowBlank="1" showDropDown="1" showInputMessage="0" showErrorMessage="1" error="Skor tidak boleh melebihi skor maksimum!" sqref="Q23">
      <formula1>P23</formula1>
    </dataValidation>
    <dataValidation type="decimal" errorStyle="stop" operator="lessThanOrEqual" allowBlank="1" showDropDown="1" showInputMessage="0" showErrorMessage="1" error="Skor tidak boleh melebihi skor maksimum!" sqref="E24">
      <formula1>D24</formula1>
    </dataValidation>
    <dataValidation type="decimal" errorStyle="stop" operator="lessThanOrEqual" allowBlank="1" showDropDown="1" showInputMessage="0" showErrorMessage="1" error="Skor tidak boleh melebihi skor maksimum!" sqref="H24">
      <formula1>G24</formula1>
    </dataValidation>
    <dataValidation type="decimal" errorStyle="stop" operator="lessThanOrEqual" allowBlank="1" showDropDown="1" showInputMessage="0" showErrorMessage="1" error="Skor tidak boleh melebihi skor maksimum!" sqref="K24">
      <formula1>J24</formula1>
    </dataValidation>
    <dataValidation type="decimal" errorStyle="stop" operator="lessThanOrEqual" allowBlank="1" showDropDown="1" showInputMessage="0" showErrorMessage="1" error="Skor tidak boleh melebihi skor maksimum!" sqref="N24">
      <formula1>M24</formula1>
    </dataValidation>
    <dataValidation type="decimal" errorStyle="stop" operator="lessThanOrEqual" allowBlank="1" showDropDown="1" showInputMessage="0" showErrorMessage="1" error="Skor tidak boleh melebihi skor maksimum!" sqref="Q24">
      <formula1>P24</formula1>
    </dataValidation>
    <dataValidation type="decimal" errorStyle="stop" operator="lessThanOrEqual" allowBlank="1" showDropDown="1" showInputMessage="0" showErrorMessage="1" error="Skor tidak boleh melebihi skor maksimum!" sqref="E25">
      <formula1>D25</formula1>
    </dataValidation>
    <dataValidation type="decimal" errorStyle="stop" operator="lessThanOrEqual" allowBlank="1" showDropDown="1" showInputMessage="0" showErrorMessage="1" error="Skor tidak boleh melebihi skor maksimum!" sqref="H25">
      <formula1>G25</formula1>
    </dataValidation>
    <dataValidation type="decimal" errorStyle="stop" operator="lessThanOrEqual" allowBlank="1" showDropDown="1" showInputMessage="0" showErrorMessage="1" error="Skor tidak boleh melebihi skor maksimum!" sqref="K25">
      <formula1>J25</formula1>
    </dataValidation>
    <dataValidation type="decimal" errorStyle="stop" operator="lessThanOrEqual" allowBlank="1" showDropDown="1" showInputMessage="0" showErrorMessage="1" error="Skor tidak boleh melebihi skor maksimum!" sqref="N25">
      <formula1>M25</formula1>
    </dataValidation>
    <dataValidation type="decimal" errorStyle="stop" operator="lessThanOrEqual" allowBlank="1" showDropDown="1" showInputMessage="0" showErrorMessage="1" error="Skor tidak boleh melebihi skor maksimum!" sqref="Q25">
      <formula1>P25</formula1>
    </dataValidation>
    <dataValidation type="decimal" errorStyle="stop" operator="lessThanOrEqual" allowBlank="1" showDropDown="1" showInputMessage="0" showErrorMessage="1" error="Skor tidak boleh melebihi skor maksimum!" sqref="E26">
      <formula1>D26</formula1>
    </dataValidation>
    <dataValidation type="decimal" errorStyle="stop" operator="lessThanOrEqual" allowBlank="1" showDropDown="1" showInputMessage="0" showErrorMessage="1" error="Skor tidak boleh melebihi skor maksimum!" sqref="H26">
      <formula1>G26</formula1>
    </dataValidation>
    <dataValidation type="decimal" errorStyle="stop" operator="lessThanOrEqual" allowBlank="1" showDropDown="1" showInputMessage="0" showErrorMessage="1" error="Skor tidak boleh melebihi skor maksimum!" sqref="K26">
      <formula1>J26</formula1>
    </dataValidation>
    <dataValidation type="decimal" errorStyle="stop" operator="lessThanOrEqual" allowBlank="1" showDropDown="1" showInputMessage="0" showErrorMessage="1" error="Skor tidak boleh melebihi skor maksimum!" sqref="N26">
      <formula1>M26</formula1>
    </dataValidation>
    <dataValidation type="decimal" errorStyle="stop" operator="lessThanOrEqual" allowBlank="1" showDropDown="1" showInputMessage="0" showErrorMessage="1" error="Skor tidak boleh melebihi skor maksimum!" sqref="Q26">
      <formula1>P26</formula1>
    </dataValidation>
    <dataValidation type="decimal" errorStyle="stop" operator="lessThanOrEqual" allowBlank="1" showDropDown="1" showInputMessage="0" showErrorMessage="1" error="Skor tidak boleh melebihi skor maksimum!" sqref="E27">
      <formula1>D27</formula1>
    </dataValidation>
    <dataValidation type="decimal" errorStyle="stop" operator="lessThanOrEqual" allowBlank="1" showDropDown="1" showInputMessage="0" showErrorMessage="1" error="Skor tidak boleh melebihi skor maksimum!" sqref="H27">
      <formula1>G27</formula1>
    </dataValidation>
    <dataValidation type="decimal" errorStyle="stop" operator="lessThanOrEqual" allowBlank="1" showDropDown="1" showInputMessage="0" showErrorMessage="1" error="Skor tidak boleh melebihi skor maksimum!" sqref="K27">
      <formula1>J27</formula1>
    </dataValidation>
    <dataValidation type="decimal" errorStyle="stop" operator="lessThanOrEqual" allowBlank="1" showDropDown="1" showInputMessage="0" showErrorMessage="1" error="Skor tidak boleh melebihi skor maksimum!" sqref="N27">
      <formula1>M27</formula1>
    </dataValidation>
    <dataValidation type="decimal" errorStyle="stop" operator="lessThanOrEqual" allowBlank="1" showDropDown="1" showInputMessage="0" showErrorMessage="1" error="Skor tidak boleh melebihi skor maksimum!" sqref="Q27">
      <formula1>P27</formula1>
    </dataValidation>
    <dataValidation type="decimal" errorStyle="stop" operator="lessThanOrEqual" allowBlank="1" showDropDown="1" showInputMessage="0" showErrorMessage="1" error="Skor tidak boleh melebihi skor maksimum!" sqref="E28">
      <formula1>D28</formula1>
    </dataValidation>
    <dataValidation type="decimal" errorStyle="stop" operator="lessThanOrEqual" allowBlank="1" showDropDown="1" showInputMessage="0" showErrorMessage="1" error="Skor tidak boleh melebihi skor maksimum!" sqref="H28">
      <formula1>G28</formula1>
    </dataValidation>
    <dataValidation type="decimal" errorStyle="stop" operator="lessThanOrEqual" allowBlank="1" showDropDown="1" showInputMessage="0" showErrorMessage="1" error="Skor tidak boleh melebihi skor maksimum!" sqref="K28">
      <formula1>J28</formula1>
    </dataValidation>
    <dataValidation type="decimal" errorStyle="stop" operator="lessThanOrEqual" allowBlank="1" showDropDown="1" showInputMessage="0" showErrorMessage="1" error="Skor tidak boleh melebihi skor maksimum!" sqref="N28">
      <formula1>M28</formula1>
    </dataValidation>
    <dataValidation type="decimal" errorStyle="stop" operator="lessThanOrEqual" allowBlank="1" showDropDown="1" showInputMessage="0" showErrorMessage="1" error="Skor tidak boleh melebihi skor maksimum!" sqref="Q28">
      <formula1>P28</formula1>
    </dataValidation>
    <dataValidation type="decimal" errorStyle="stop" operator="lessThanOrEqual" allowBlank="1" showDropDown="1" showInputMessage="0" showErrorMessage="1" error="Skor tidak boleh melebihi skor maksimum!" sqref="E29">
      <formula1>D29</formula1>
    </dataValidation>
    <dataValidation type="decimal" errorStyle="stop" operator="lessThanOrEqual" allowBlank="1" showDropDown="1" showInputMessage="0" showErrorMessage="1" error="Skor tidak boleh melebihi skor maksimum!" sqref="H29">
      <formula1>G29</formula1>
    </dataValidation>
    <dataValidation type="decimal" errorStyle="stop" operator="lessThanOrEqual" allowBlank="1" showDropDown="1" showInputMessage="0" showErrorMessage="1" error="Skor tidak boleh melebihi skor maksimum!" sqref="K29">
      <formula1>J29</formula1>
    </dataValidation>
    <dataValidation type="decimal" errorStyle="stop" operator="lessThanOrEqual" allowBlank="1" showDropDown="1" showInputMessage="0" showErrorMessage="1" error="Skor tidak boleh melebihi skor maksimum!" sqref="N29">
      <formula1>M29</formula1>
    </dataValidation>
    <dataValidation type="decimal" errorStyle="stop" operator="lessThanOrEqual" allowBlank="1" showDropDown="1" showInputMessage="0" showErrorMessage="1" error="Skor tidak boleh melebihi skor maksimum!" sqref="Q29">
      <formula1>P29</formula1>
    </dataValidation>
    <dataValidation type="decimal" errorStyle="stop" operator="lessThanOrEqual" allowBlank="1" showDropDown="1" showInputMessage="0" showErrorMessage="1" error="Skor tidak boleh melebihi skor maksimum!" sqref="E30">
      <formula1>D30</formula1>
    </dataValidation>
    <dataValidation type="decimal" errorStyle="stop" operator="lessThanOrEqual" allowBlank="1" showDropDown="1" showInputMessage="0" showErrorMessage="1" error="Skor tidak boleh melebihi skor maksimum!" sqref="H30">
      <formula1>G30</formula1>
    </dataValidation>
    <dataValidation type="decimal" errorStyle="stop" operator="lessThanOrEqual" allowBlank="1" showDropDown="1" showInputMessage="0" showErrorMessage="1" error="Skor tidak boleh melebihi skor maksimum!" sqref="K30">
      <formula1>J30</formula1>
    </dataValidation>
    <dataValidation type="decimal" errorStyle="stop" operator="lessThanOrEqual" allowBlank="1" showDropDown="1" showInputMessage="0" showErrorMessage="1" error="Skor tidak boleh melebihi skor maksimum!" sqref="N30">
      <formula1>M30</formula1>
    </dataValidation>
    <dataValidation type="decimal" errorStyle="stop" operator="lessThanOrEqual" allowBlank="1" showDropDown="1" showInputMessage="0" showErrorMessage="1" error="Skor tidak boleh melebihi skor maksimum!" sqref="Q30">
      <formula1>P30</formula1>
    </dataValidation>
    <dataValidation type="decimal" errorStyle="stop" operator="lessThanOrEqual" allowBlank="1" showDropDown="1" showInputMessage="0" showErrorMessage="1" error="Skor tidak boleh melebihi skor maksimum!" sqref="E31">
      <formula1>D31</formula1>
    </dataValidation>
    <dataValidation type="decimal" errorStyle="stop" operator="lessThanOrEqual" allowBlank="1" showDropDown="1" showInputMessage="0" showErrorMessage="1" error="Skor tidak boleh melebihi skor maksimum!" sqref="H31">
      <formula1>G31</formula1>
    </dataValidation>
    <dataValidation type="decimal" errorStyle="stop" operator="lessThanOrEqual" allowBlank="1" showDropDown="1" showInputMessage="0" showErrorMessage="1" error="Skor tidak boleh melebihi skor maksimum!" sqref="K31">
      <formula1>J31</formula1>
    </dataValidation>
    <dataValidation type="decimal" errorStyle="stop" operator="lessThanOrEqual" allowBlank="1" showDropDown="1" showInputMessage="0" showErrorMessage="1" error="Skor tidak boleh melebihi skor maksimum!" sqref="N31">
      <formula1>M31</formula1>
    </dataValidation>
    <dataValidation type="decimal" errorStyle="stop" operator="lessThanOrEqual" allowBlank="1" showDropDown="1" showInputMessage="0" showErrorMessage="1" error="Skor tidak boleh melebihi skor maksimum!" sqref="Q31">
      <formula1>P31</formula1>
    </dataValidation>
    <dataValidation type="decimal" errorStyle="stop" operator="lessThanOrEqual" allowBlank="1" showDropDown="1" showInputMessage="0" showErrorMessage="1" error="Skor tidak boleh melebihi skor maksimum!" sqref="E32">
      <formula1>D32</formula1>
    </dataValidation>
    <dataValidation type="decimal" errorStyle="stop" operator="lessThanOrEqual" allowBlank="1" showDropDown="1" showInputMessage="0" showErrorMessage="1" error="Skor tidak boleh melebihi skor maksimum!" sqref="H32">
      <formula1>G32</formula1>
    </dataValidation>
    <dataValidation type="decimal" errorStyle="stop" operator="lessThanOrEqual" allowBlank="1" showDropDown="1" showInputMessage="0" showErrorMessage="1" error="Skor tidak boleh melebihi skor maksimum!" sqref="K32">
      <formula1>J32</formula1>
    </dataValidation>
    <dataValidation type="decimal" errorStyle="stop" operator="lessThanOrEqual" allowBlank="1" showDropDown="1" showInputMessage="0" showErrorMessage="1" error="Skor tidak boleh melebihi skor maksimum!" sqref="N32">
      <formula1>M32</formula1>
    </dataValidation>
    <dataValidation type="decimal" errorStyle="stop" operator="lessThanOrEqual" allowBlank="1" showDropDown="1" showInputMessage="0" showErrorMessage="1" error="Skor tidak boleh melebihi skor maksimum!" sqref="Q32">
      <formula1>P32</formula1>
    </dataValidation>
    <dataValidation type="decimal" errorStyle="stop" operator="lessThanOrEqual" allowBlank="1" showDropDown="1" showInputMessage="0" showErrorMessage="1" error="Skor tidak boleh melebihi skor maksimum!" sqref="E33">
      <formula1>D33</formula1>
    </dataValidation>
    <dataValidation type="decimal" errorStyle="stop" operator="lessThanOrEqual" allowBlank="1" showDropDown="1" showInputMessage="0" showErrorMessage="1" error="Skor tidak boleh melebihi skor maksimum!" sqref="H33">
      <formula1>G33</formula1>
    </dataValidation>
    <dataValidation type="decimal" errorStyle="stop" operator="lessThanOrEqual" allowBlank="1" showDropDown="1" showInputMessage="0" showErrorMessage="1" error="Skor tidak boleh melebihi skor maksimum!" sqref="K33">
      <formula1>J33</formula1>
    </dataValidation>
    <dataValidation type="decimal" errorStyle="stop" operator="lessThanOrEqual" allowBlank="1" showDropDown="1" showInputMessage="0" showErrorMessage="1" error="Skor tidak boleh melebihi skor maksimum!" sqref="N33">
      <formula1>M33</formula1>
    </dataValidation>
    <dataValidation type="decimal" errorStyle="stop" operator="lessThanOrEqual" allowBlank="1" showDropDown="1" showInputMessage="0" showErrorMessage="1" error="Skor tidak boleh melebihi skor maksimum!" sqref="Q33">
      <formula1>P33</formula1>
    </dataValidation>
    <dataValidation type="decimal" errorStyle="stop" operator="lessThanOrEqual" allowBlank="1" showDropDown="1" showInputMessage="0" showErrorMessage="1" error="Skor tidak boleh melebihi skor maksimum!" sqref="E34">
      <formula1>D34</formula1>
    </dataValidation>
    <dataValidation type="decimal" errorStyle="stop" operator="lessThanOrEqual" allowBlank="1" showDropDown="1" showInputMessage="0" showErrorMessage="1" error="Skor tidak boleh melebihi skor maksimum!" sqref="H34">
      <formula1>G34</formula1>
    </dataValidation>
    <dataValidation type="decimal" errorStyle="stop" operator="lessThanOrEqual" allowBlank="1" showDropDown="1" showInputMessage="0" showErrorMessage="1" error="Skor tidak boleh melebihi skor maksimum!" sqref="K34">
      <formula1>J34</formula1>
    </dataValidation>
    <dataValidation type="decimal" errorStyle="stop" operator="lessThanOrEqual" allowBlank="1" showDropDown="1" showInputMessage="0" showErrorMessage="1" error="Skor tidak boleh melebihi skor maksimum!" sqref="N34">
      <formula1>M34</formula1>
    </dataValidation>
    <dataValidation type="decimal" errorStyle="stop" operator="lessThanOrEqual" allowBlank="1" showDropDown="1" showInputMessage="0" showErrorMessage="1" error="Skor tidak boleh melebihi skor maksimum!" sqref="Q34">
      <formula1>P34</formula1>
    </dataValidation>
    <dataValidation type="decimal" errorStyle="stop" operator="lessThanOrEqual" allowBlank="1" showDropDown="1" showInputMessage="0" showErrorMessage="1" error="Skor tidak boleh melebihi skor maksimum!" sqref="E35">
      <formula1>D35</formula1>
    </dataValidation>
    <dataValidation type="decimal" errorStyle="stop" operator="lessThanOrEqual" allowBlank="1" showDropDown="1" showInputMessage="0" showErrorMessage="1" error="Skor tidak boleh melebihi skor maksimum!" sqref="H35">
      <formula1>G35</formula1>
    </dataValidation>
    <dataValidation type="decimal" errorStyle="stop" operator="lessThanOrEqual" allowBlank="1" showDropDown="1" showInputMessage="0" showErrorMessage="1" error="Skor tidak boleh melebihi skor maksimum!" sqref="K35">
      <formula1>J35</formula1>
    </dataValidation>
    <dataValidation type="decimal" errorStyle="stop" operator="lessThanOrEqual" allowBlank="1" showDropDown="1" showInputMessage="0" showErrorMessage="1" error="Skor tidak boleh melebihi skor maksimum!" sqref="N35">
      <formula1>M35</formula1>
    </dataValidation>
    <dataValidation type="decimal" errorStyle="stop" operator="lessThanOrEqual" allowBlank="1" showDropDown="1" showInputMessage="0" showErrorMessage="1" error="Skor tidak boleh melebihi skor maksimum!" sqref="Q35">
      <formula1>P35</formula1>
    </dataValidation>
    <dataValidation type="decimal" errorStyle="stop" operator="lessThanOrEqual" allowBlank="1" showDropDown="1" showInputMessage="0" showErrorMessage="1" error="Skor tidak boleh melebihi skor maksimum!" sqref="E36">
      <formula1>D36</formula1>
    </dataValidation>
    <dataValidation type="decimal" errorStyle="stop" operator="lessThanOrEqual" allowBlank="1" showDropDown="1" showInputMessage="0" showErrorMessage="1" error="Skor tidak boleh melebihi skor maksimum!" sqref="H36">
      <formula1>G36</formula1>
    </dataValidation>
    <dataValidation type="decimal" errorStyle="stop" operator="lessThanOrEqual" allowBlank="1" showDropDown="1" showInputMessage="0" showErrorMessage="1" error="Skor tidak boleh melebihi skor maksimum!" sqref="K36">
      <formula1>J36</formula1>
    </dataValidation>
    <dataValidation type="decimal" errorStyle="stop" operator="lessThanOrEqual" allowBlank="1" showDropDown="1" showInputMessage="0" showErrorMessage="1" error="Skor tidak boleh melebihi skor maksimum!" sqref="N36">
      <formula1>M36</formula1>
    </dataValidation>
    <dataValidation type="decimal" errorStyle="stop" operator="lessThanOrEqual" allowBlank="1" showDropDown="1" showInputMessage="0" showErrorMessage="1" error="Skor tidak boleh melebihi skor maksimum!" sqref="Q36">
      <formula1>P36</formula1>
    </dataValidation>
    <dataValidation type="decimal" errorStyle="stop" operator="lessThanOrEqual" allowBlank="1" showDropDown="1" showInputMessage="0" showErrorMessage="1" error="Skor tidak boleh melebihi skor maksimum!" sqref="E37">
      <formula1>D37</formula1>
    </dataValidation>
    <dataValidation type="decimal" errorStyle="stop" operator="lessThanOrEqual" allowBlank="1" showDropDown="1" showInputMessage="0" showErrorMessage="1" error="Skor tidak boleh melebihi skor maksimum!" sqref="H37">
      <formula1>G37</formula1>
    </dataValidation>
    <dataValidation type="decimal" errorStyle="stop" operator="lessThanOrEqual" allowBlank="1" showDropDown="1" showInputMessage="0" showErrorMessage="1" error="Skor tidak boleh melebihi skor maksimum!" sqref="K37">
      <formula1>J37</formula1>
    </dataValidation>
    <dataValidation type="decimal" errorStyle="stop" operator="lessThanOrEqual" allowBlank="1" showDropDown="1" showInputMessage="0" showErrorMessage="1" error="Skor tidak boleh melebihi skor maksimum!" sqref="N37">
      <formula1>M37</formula1>
    </dataValidation>
    <dataValidation type="decimal" errorStyle="stop" operator="lessThanOrEqual" allowBlank="1" showDropDown="1" showInputMessage="0" showErrorMessage="1" error="Skor tidak boleh melebihi skor maksimum!" sqref="Q37">
      <formula1>P37</formula1>
    </dataValidation>
    <dataValidation type="decimal" errorStyle="stop" operator="lessThanOrEqual" allowBlank="1" showDropDown="1" showInputMessage="0" showErrorMessage="1" error="Skor tidak boleh melebihi skor maksimum!" sqref="E38">
      <formula1>D38</formula1>
    </dataValidation>
    <dataValidation type="decimal" errorStyle="stop" operator="lessThanOrEqual" allowBlank="1" showDropDown="1" showInputMessage="0" showErrorMessage="1" error="Skor tidak boleh melebihi skor maksimum!" sqref="H38">
      <formula1>G38</formula1>
    </dataValidation>
    <dataValidation type="decimal" errorStyle="stop" operator="lessThanOrEqual" allowBlank="1" showDropDown="1" showInputMessage="0" showErrorMessage="1" error="Skor tidak boleh melebihi skor maksimum!" sqref="K38">
      <formula1>J38</formula1>
    </dataValidation>
    <dataValidation type="decimal" errorStyle="stop" operator="lessThanOrEqual" allowBlank="1" showDropDown="1" showInputMessage="0" showErrorMessage="1" error="Skor tidak boleh melebihi skor maksimum!" sqref="N38">
      <formula1>M38</formula1>
    </dataValidation>
    <dataValidation type="decimal" errorStyle="stop" operator="lessThanOrEqual" allowBlank="1" showDropDown="1" showInputMessage="0" showErrorMessage="1" error="Skor tidak boleh melebihi skor maksimum!" sqref="Q38">
      <formula1>P38</formula1>
    </dataValidation>
    <dataValidation type="decimal" errorStyle="stop" operator="lessThanOrEqual" allowBlank="1" showDropDown="1" showInputMessage="0" showErrorMessage="1" error="Skor tidak boleh melebihi skor maksimum!" sqref="E39">
      <formula1>D39</formula1>
    </dataValidation>
    <dataValidation type="decimal" errorStyle="stop" operator="lessThanOrEqual" allowBlank="1" showDropDown="1" showInputMessage="0" showErrorMessage="1" error="Skor tidak boleh melebihi skor maksimum!" sqref="H39">
      <formula1>G39</formula1>
    </dataValidation>
    <dataValidation type="decimal" errorStyle="stop" operator="lessThanOrEqual" allowBlank="1" showDropDown="1" showInputMessage="0" showErrorMessage="1" error="Skor tidak boleh melebihi skor maksimum!" sqref="K39">
      <formula1>J39</formula1>
    </dataValidation>
    <dataValidation type="decimal" errorStyle="stop" operator="lessThanOrEqual" allowBlank="1" showDropDown="1" showInputMessage="0" showErrorMessage="1" error="Skor tidak boleh melebihi skor maksimum!" sqref="N39">
      <formula1>M39</formula1>
    </dataValidation>
    <dataValidation type="decimal" errorStyle="stop" operator="lessThanOrEqual" allowBlank="1" showDropDown="1" showInputMessage="0" showErrorMessage="1" error="Skor tidak boleh melebihi skor maksimum!" sqref="Q39">
      <formula1>P39</formula1>
    </dataValidation>
    <dataValidation type="decimal" errorStyle="stop" operator="lessThanOrEqual" allowBlank="1" showDropDown="1" showInputMessage="0" showErrorMessage="1" error="Skor tidak boleh melebihi skor maksimum!" sqref="E40">
      <formula1>D40</formula1>
    </dataValidation>
    <dataValidation type="decimal" errorStyle="stop" operator="lessThanOrEqual" allowBlank="1" showDropDown="1" showInputMessage="0" showErrorMessage="1" error="Skor tidak boleh melebihi skor maksimum!" sqref="H40">
      <formula1>G40</formula1>
    </dataValidation>
    <dataValidation type="decimal" errorStyle="stop" operator="lessThanOrEqual" allowBlank="1" showDropDown="1" showInputMessage="0" showErrorMessage="1" error="Skor tidak boleh melebihi skor maksimum!" sqref="K40">
      <formula1>J40</formula1>
    </dataValidation>
    <dataValidation type="decimal" errorStyle="stop" operator="lessThanOrEqual" allowBlank="1" showDropDown="1" showInputMessage="0" showErrorMessage="1" error="Skor tidak boleh melebihi skor maksimum!" sqref="N40">
      <formula1>M40</formula1>
    </dataValidation>
    <dataValidation type="decimal" errorStyle="stop" operator="lessThanOrEqual" allowBlank="1" showDropDown="1" showInputMessage="0" showErrorMessage="1" error="Skor tidak boleh melebihi skor maksimum!" sqref="Q40">
      <formula1>P40</formula1>
    </dataValidation>
    <dataValidation type="decimal" errorStyle="stop" operator="lessThanOrEqual" allowBlank="1" showDropDown="1" showInputMessage="0" showErrorMessage="1" error="Skor tidak boleh melebihi skor maksimum!" sqref="E41">
      <formula1>D41</formula1>
    </dataValidation>
    <dataValidation type="decimal" errorStyle="stop" operator="lessThanOrEqual" allowBlank="1" showDropDown="1" showInputMessage="0" showErrorMessage="1" error="Skor tidak boleh melebihi skor maksimum!" sqref="H41">
      <formula1>G41</formula1>
    </dataValidation>
    <dataValidation type="decimal" errorStyle="stop" operator="lessThanOrEqual" allowBlank="1" showDropDown="1" showInputMessage="0" showErrorMessage="1" error="Skor tidak boleh melebihi skor maksimum!" sqref="K41">
      <formula1>J41</formula1>
    </dataValidation>
    <dataValidation type="decimal" errorStyle="stop" operator="lessThanOrEqual" allowBlank="1" showDropDown="1" showInputMessage="0" showErrorMessage="1" error="Skor tidak boleh melebihi skor maksimum!" sqref="N41">
      <formula1>M41</formula1>
    </dataValidation>
    <dataValidation type="decimal" errorStyle="stop" operator="lessThanOrEqual" allowBlank="1" showDropDown="1" showInputMessage="0" showErrorMessage="1" error="Skor tidak boleh melebihi skor maksimum!" sqref="Q41">
      <formula1>P41</formula1>
    </dataValidation>
    <dataValidation type="decimal" errorStyle="stop" operator="lessThanOrEqual" allowBlank="1" showDropDown="1" showInputMessage="0" showErrorMessage="1" error="Skor tidak boleh melebihi skor maksimum!" sqref="E42">
      <formula1>D42</formula1>
    </dataValidation>
    <dataValidation type="decimal" errorStyle="stop" operator="lessThanOrEqual" allowBlank="1" showDropDown="1" showInputMessage="0" showErrorMessage="1" error="Skor tidak boleh melebihi skor maksimum!" sqref="H42">
      <formula1>G42</formula1>
    </dataValidation>
    <dataValidation type="decimal" errorStyle="stop" operator="lessThanOrEqual" allowBlank="1" showDropDown="1" showInputMessage="0" showErrorMessage="1" error="Skor tidak boleh melebihi skor maksimum!" sqref="K42">
      <formula1>J42</formula1>
    </dataValidation>
    <dataValidation type="decimal" errorStyle="stop" operator="lessThanOrEqual" allowBlank="1" showDropDown="1" showInputMessage="0" showErrorMessage="1" error="Skor tidak boleh melebihi skor maksimum!" sqref="N42">
      <formula1>M42</formula1>
    </dataValidation>
    <dataValidation type="decimal" errorStyle="stop" operator="lessThanOrEqual" allowBlank="1" showDropDown="1" showInputMessage="0" showErrorMessage="1" error="Skor tidak boleh melebihi skor maksimum!" sqref="Q42">
      <formula1>P42</formula1>
    </dataValidation>
    <dataValidation type="decimal" errorStyle="stop" operator="lessThanOrEqual" allowBlank="1" showDropDown="1" showInputMessage="0" showErrorMessage="1" error="Skor tidak boleh melebihi skor maksimum!" sqref="E43">
      <formula1>D43</formula1>
    </dataValidation>
    <dataValidation type="decimal" errorStyle="stop" operator="lessThanOrEqual" allowBlank="1" showDropDown="1" showInputMessage="0" showErrorMessage="1" error="Skor tidak boleh melebihi skor maksimum!" sqref="H43">
      <formula1>G43</formula1>
    </dataValidation>
    <dataValidation type="decimal" errorStyle="stop" operator="lessThanOrEqual" allowBlank="1" showDropDown="1" showInputMessage="0" showErrorMessage="1" error="Skor tidak boleh melebihi skor maksimum!" sqref="K43">
      <formula1>J43</formula1>
    </dataValidation>
    <dataValidation type="decimal" errorStyle="stop" operator="lessThanOrEqual" allowBlank="1" showDropDown="1" showInputMessage="0" showErrorMessage="1" error="Skor tidak boleh melebihi skor maksimum!" sqref="N43">
      <formula1>M43</formula1>
    </dataValidation>
    <dataValidation type="decimal" errorStyle="stop" operator="lessThanOrEqual" allowBlank="1" showDropDown="1" showInputMessage="0" showErrorMessage="1" error="Skor tidak boleh melebihi skor maksimum!" sqref="Q43">
      <formula1>P43</formula1>
    </dataValidation>
    <dataValidation type="decimal" errorStyle="stop" operator="lessThanOrEqual" allowBlank="1" showDropDown="1" showInputMessage="0" showErrorMessage="1" error="Skor tidak boleh melebihi skor maksimum!" sqref="E44">
      <formula1>D44</formula1>
    </dataValidation>
    <dataValidation type="decimal" errorStyle="stop" operator="lessThanOrEqual" allowBlank="1" showDropDown="1" showInputMessage="0" showErrorMessage="1" error="Skor tidak boleh melebihi skor maksimum!" sqref="H44">
      <formula1>G44</formula1>
    </dataValidation>
    <dataValidation type="decimal" errorStyle="stop" operator="lessThanOrEqual" allowBlank="1" showDropDown="1" showInputMessage="0" showErrorMessage="1" error="Skor tidak boleh melebihi skor maksimum!" sqref="K44">
      <formula1>J44</formula1>
    </dataValidation>
    <dataValidation type="decimal" errorStyle="stop" operator="lessThanOrEqual" allowBlank="1" showDropDown="1" showInputMessage="0" showErrorMessage="1" error="Skor tidak boleh melebihi skor maksimum!" sqref="N44">
      <formula1>M44</formula1>
    </dataValidation>
    <dataValidation type="decimal" errorStyle="stop" operator="lessThanOrEqual" allowBlank="1" showDropDown="1" showInputMessage="0" showErrorMessage="1" error="Skor tidak boleh melebihi skor maksimum!" sqref="Q44">
      <formula1>P44</formula1>
    </dataValidation>
    <dataValidation type="decimal" errorStyle="stop" operator="lessThanOrEqual" allowBlank="1" showDropDown="1" showInputMessage="0" showErrorMessage="1" error="Skor tidak boleh melebihi skor maksimum!" sqref="E45">
      <formula1>D45</formula1>
    </dataValidation>
    <dataValidation type="decimal" errorStyle="stop" operator="lessThanOrEqual" allowBlank="1" showDropDown="1" showInputMessage="0" showErrorMessage="1" error="Skor tidak boleh melebihi skor maksimum!" sqref="H45">
      <formula1>G45</formula1>
    </dataValidation>
    <dataValidation type="decimal" errorStyle="stop" operator="lessThanOrEqual" allowBlank="1" showDropDown="1" showInputMessage="0" showErrorMessage="1" error="Skor tidak boleh melebihi skor maksimum!" sqref="K45">
      <formula1>J45</formula1>
    </dataValidation>
    <dataValidation type="decimal" errorStyle="stop" operator="lessThanOrEqual" allowBlank="1" showDropDown="1" showInputMessage="0" showErrorMessage="1" error="Skor tidak boleh melebihi skor maksimum!" sqref="N45">
      <formula1>M45</formula1>
    </dataValidation>
    <dataValidation type="decimal" errorStyle="stop" operator="lessThanOrEqual" allowBlank="1" showDropDown="1" showInputMessage="0" showErrorMessage="1" error="Skor tidak boleh melebihi skor maksimum!" sqref="Q45">
      <formula1>P45</formula1>
    </dataValidation>
    <dataValidation type="decimal" errorStyle="stop" operator="lessThanOrEqual" allowBlank="1" showDropDown="1" showInputMessage="0" showErrorMessage="1" error="Skor tidak boleh melebihi skor maksimum!" sqref="E46">
      <formula1>D46</formula1>
    </dataValidation>
    <dataValidation type="decimal" errorStyle="stop" operator="lessThanOrEqual" allowBlank="1" showDropDown="1" showInputMessage="0" showErrorMessage="1" error="Skor tidak boleh melebihi skor maksimum!" sqref="H46">
      <formula1>G46</formula1>
    </dataValidation>
    <dataValidation type="decimal" errorStyle="stop" operator="lessThanOrEqual" allowBlank="1" showDropDown="1" showInputMessage="0" showErrorMessage="1" error="Skor tidak boleh melebihi skor maksimum!" sqref="K46">
      <formula1>J46</formula1>
    </dataValidation>
    <dataValidation type="decimal" errorStyle="stop" operator="lessThanOrEqual" allowBlank="1" showDropDown="1" showInputMessage="0" showErrorMessage="1" error="Skor tidak boleh melebihi skor maksimum!" sqref="N46">
      <formula1>M46</formula1>
    </dataValidation>
    <dataValidation type="decimal" errorStyle="stop" operator="lessThanOrEqual" allowBlank="1" showDropDown="1" showInputMessage="0" showErrorMessage="1" error="Skor tidak boleh melebihi skor maksimum!" sqref="Q46">
      <formula1>P46</formula1>
    </dataValidation>
    <dataValidation type="decimal" errorStyle="stop" operator="lessThanOrEqual" allowBlank="1" showDropDown="1" showInputMessage="0" showErrorMessage="1" error="Skor tidak boleh melebihi skor maksimum!" sqref="E47">
      <formula1>D47</formula1>
    </dataValidation>
    <dataValidation type="decimal" errorStyle="stop" operator="lessThanOrEqual" allowBlank="1" showDropDown="1" showInputMessage="0" showErrorMessage="1" error="Skor tidak boleh melebihi skor maksimum!" sqref="H47">
      <formula1>G47</formula1>
    </dataValidation>
    <dataValidation type="decimal" errorStyle="stop" operator="lessThanOrEqual" allowBlank="1" showDropDown="1" showInputMessage="0" showErrorMessage="1" error="Skor tidak boleh melebihi skor maksimum!" sqref="K47">
      <formula1>J47</formula1>
    </dataValidation>
    <dataValidation type="decimal" errorStyle="stop" operator="lessThanOrEqual" allowBlank="1" showDropDown="1" showInputMessage="0" showErrorMessage="1" error="Skor tidak boleh melebihi skor maksimum!" sqref="N47">
      <formula1>M47</formula1>
    </dataValidation>
    <dataValidation type="decimal" errorStyle="stop" operator="lessThanOrEqual" allowBlank="1" showDropDown="1" showInputMessage="0" showErrorMessage="1" error="Skor tidak boleh melebihi skor maksimum!" sqref="Q47">
      <formula1>P47</formula1>
    </dataValidation>
    <dataValidation type="decimal" errorStyle="stop" operator="lessThanOrEqual" allowBlank="1" showDropDown="1" showInputMessage="0" showErrorMessage="1" error="Skor tidak boleh melebihi skor maksimum!" sqref="E48">
      <formula1>D48</formula1>
    </dataValidation>
    <dataValidation type="decimal" errorStyle="stop" operator="lessThanOrEqual" allowBlank="1" showDropDown="1" showInputMessage="0" showErrorMessage="1" error="Skor tidak boleh melebihi skor maksimum!" sqref="H48">
      <formula1>G48</formula1>
    </dataValidation>
    <dataValidation type="decimal" errorStyle="stop" operator="lessThanOrEqual" allowBlank="1" showDropDown="1" showInputMessage="0" showErrorMessage="1" error="Skor tidak boleh melebihi skor maksimum!" sqref="K48">
      <formula1>J48</formula1>
    </dataValidation>
    <dataValidation type="decimal" errorStyle="stop" operator="lessThanOrEqual" allowBlank="1" showDropDown="1" showInputMessage="0" showErrorMessage="1" error="Skor tidak boleh melebihi skor maksimum!" sqref="N48">
      <formula1>M48</formula1>
    </dataValidation>
    <dataValidation type="decimal" errorStyle="stop" operator="lessThanOrEqual" allowBlank="1" showDropDown="1" showInputMessage="0" showErrorMessage="1" error="Skor tidak boleh melebihi skor maksimum!" sqref="Q48">
      <formula1>P48</formula1>
    </dataValidation>
    <dataValidation type="decimal" errorStyle="stop" operator="lessThanOrEqual" allowBlank="1" showDropDown="1" showInputMessage="0" showErrorMessage="1" error="Skor tidak boleh melebihi skor maksimum!" sqref="E49">
      <formula1>D49</formula1>
    </dataValidation>
    <dataValidation type="decimal" errorStyle="stop" operator="lessThanOrEqual" allowBlank="1" showDropDown="1" showInputMessage="0" showErrorMessage="1" error="Skor tidak boleh melebihi skor maksimum!" sqref="H49">
      <formula1>G49</formula1>
    </dataValidation>
    <dataValidation type="decimal" errorStyle="stop" operator="lessThanOrEqual" allowBlank="1" showDropDown="1" showInputMessage="0" showErrorMessage="1" error="Skor tidak boleh melebihi skor maksimum!" sqref="K49">
      <formula1>J49</formula1>
    </dataValidation>
    <dataValidation type="decimal" errorStyle="stop" operator="lessThanOrEqual" allowBlank="1" showDropDown="1" showInputMessage="0" showErrorMessage="1" error="Skor tidak boleh melebihi skor maksimum!" sqref="N49">
      <formula1>M49</formula1>
    </dataValidation>
    <dataValidation type="decimal" errorStyle="stop" operator="lessThanOrEqual" allowBlank="1" showDropDown="1" showInputMessage="0" showErrorMessage="1" error="Skor tidak boleh melebihi skor maksimum!" sqref="Q49">
      <formula1>P49</formula1>
    </dataValidation>
    <dataValidation type="decimal" errorStyle="stop" operator="lessThanOrEqual" allowBlank="1" showDropDown="1" showInputMessage="0" showErrorMessage="1" error="Skor tidak boleh melebihi skor maksimum!" sqref="E50">
      <formula1>D50</formula1>
    </dataValidation>
    <dataValidation type="decimal" errorStyle="stop" operator="lessThanOrEqual" allowBlank="1" showDropDown="1" showInputMessage="0" showErrorMessage="1" error="Skor tidak boleh melebihi skor maksimum!" sqref="H50">
      <formula1>G50</formula1>
    </dataValidation>
    <dataValidation type="decimal" errorStyle="stop" operator="lessThanOrEqual" allowBlank="1" showDropDown="1" showInputMessage="0" showErrorMessage="1" error="Skor tidak boleh melebihi skor maksimum!" sqref="K50">
      <formula1>J50</formula1>
    </dataValidation>
    <dataValidation type="decimal" errorStyle="stop" operator="lessThanOrEqual" allowBlank="1" showDropDown="1" showInputMessage="0" showErrorMessage="1" error="Skor tidak boleh melebihi skor maksimum!" sqref="N50">
      <formula1>M50</formula1>
    </dataValidation>
    <dataValidation type="decimal" errorStyle="stop" operator="lessThanOrEqual" allowBlank="1" showDropDown="1" showInputMessage="0" showErrorMessage="1" error="Skor tidak boleh melebihi skor maksimum!" sqref="Q50">
      <formula1>P50</formula1>
    </dataValidation>
    <dataValidation type="decimal" errorStyle="stop" operator="lessThanOrEqual" allowBlank="1" showDropDown="1" showInputMessage="0" showErrorMessage="1" error="Skor tidak boleh melebihi skor maksimum!" sqref="E51">
      <formula1>D51</formula1>
    </dataValidation>
    <dataValidation type="decimal" errorStyle="stop" operator="lessThanOrEqual" allowBlank="1" showDropDown="1" showInputMessage="0" showErrorMessage="1" error="Skor tidak boleh melebihi skor maksimum!" sqref="H51">
      <formula1>G51</formula1>
    </dataValidation>
    <dataValidation type="decimal" errorStyle="stop" operator="lessThanOrEqual" allowBlank="1" showDropDown="1" showInputMessage="0" showErrorMessage="1" error="Skor tidak boleh melebihi skor maksimum!" sqref="K51">
      <formula1>J51</formula1>
    </dataValidation>
    <dataValidation type="decimal" errorStyle="stop" operator="lessThanOrEqual" allowBlank="1" showDropDown="1" showInputMessage="0" showErrorMessage="1" error="Skor tidak boleh melebihi skor maksimum!" sqref="N51">
      <formula1>M51</formula1>
    </dataValidation>
    <dataValidation type="decimal" errorStyle="stop" operator="lessThanOrEqual" allowBlank="1" showDropDown="1" showInputMessage="0" showErrorMessage="1" error="Skor tidak boleh melebihi skor maksimum!" sqref="Q51">
      <formula1>P51</formula1>
    </dataValidation>
    <dataValidation type="decimal" errorStyle="stop" operator="lessThanOrEqual" allowBlank="1" showDropDown="1" showInputMessage="0" showErrorMessage="1" error="Skor tidak boleh melebihi skor maksimum!" sqref="E52">
      <formula1>D52</formula1>
    </dataValidation>
    <dataValidation type="decimal" errorStyle="stop" operator="lessThanOrEqual" allowBlank="1" showDropDown="1" showInputMessage="0" showErrorMessage="1" error="Skor tidak boleh melebihi skor maksimum!" sqref="H52">
      <formula1>G52</formula1>
    </dataValidation>
    <dataValidation type="decimal" errorStyle="stop" operator="lessThanOrEqual" allowBlank="1" showDropDown="1" showInputMessage="0" showErrorMessage="1" error="Skor tidak boleh melebihi skor maksimum!" sqref="K52">
      <formula1>J52</formula1>
    </dataValidation>
    <dataValidation type="decimal" errorStyle="stop" operator="lessThanOrEqual" allowBlank="1" showDropDown="1" showInputMessage="0" showErrorMessage="1" error="Skor tidak boleh melebihi skor maksimum!" sqref="N52">
      <formula1>M52</formula1>
    </dataValidation>
    <dataValidation type="decimal" errorStyle="stop" operator="lessThanOrEqual" allowBlank="1" showDropDown="1" showInputMessage="0" showErrorMessage="1" error="Skor tidak boleh melebihi skor maksimum!" sqref="Q52">
      <formula1>P52</formula1>
    </dataValidation>
    <dataValidation type="decimal" errorStyle="stop" operator="lessThanOrEqual" allowBlank="1" showDropDown="1" showInputMessage="0" showErrorMessage="1" error="Skor tidak boleh melebihi skor maksimum!" sqref="E53">
      <formula1>D53</formula1>
    </dataValidation>
    <dataValidation type="decimal" errorStyle="stop" operator="lessThanOrEqual" allowBlank="1" showDropDown="1" showInputMessage="0" showErrorMessage="1" error="Skor tidak boleh melebihi skor maksimum!" sqref="H53">
      <formula1>G53</formula1>
    </dataValidation>
    <dataValidation type="decimal" errorStyle="stop" operator="lessThanOrEqual" allowBlank="1" showDropDown="1" showInputMessage="0" showErrorMessage="1" error="Skor tidak boleh melebihi skor maksimum!" sqref="K53">
      <formula1>J53</formula1>
    </dataValidation>
    <dataValidation type="decimal" errorStyle="stop" operator="lessThanOrEqual" allowBlank="1" showDropDown="1" showInputMessage="0" showErrorMessage="1" error="Skor tidak boleh melebihi skor maksimum!" sqref="N53">
      <formula1>M53</formula1>
    </dataValidation>
    <dataValidation type="decimal" errorStyle="stop" operator="lessThanOrEqual" allowBlank="1" showDropDown="1" showInputMessage="0" showErrorMessage="1" error="Skor tidak boleh melebihi skor maksimum!" sqref="Q53">
      <formula1>P53</formula1>
    </dataValidation>
    <dataValidation type="decimal" errorStyle="stop" operator="lessThanOrEqual" allowBlank="1" showDropDown="1" showInputMessage="0" showErrorMessage="1" error="Skor tidak boleh melebihi skor maksimum!" sqref="E54">
      <formula1>D54</formula1>
    </dataValidation>
    <dataValidation type="decimal" errorStyle="stop" operator="lessThanOrEqual" allowBlank="1" showDropDown="1" showInputMessage="0" showErrorMessage="1" error="Skor tidak boleh melebihi skor maksimum!" sqref="H54">
      <formula1>G54</formula1>
    </dataValidation>
    <dataValidation type="decimal" errorStyle="stop" operator="lessThanOrEqual" allowBlank="1" showDropDown="1" showInputMessage="0" showErrorMessage="1" error="Skor tidak boleh melebihi skor maksimum!" sqref="K54">
      <formula1>J54</formula1>
    </dataValidation>
    <dataValidation type="decimal" errorStyle="stop" operator="lessThanOrEqual" allowBlank="1" showDropDown="1" showInputMessage="0" showErrorMessage="1" error="Skor tidak boleh melebihi skor maksimum!" sqref="N54">
      <formula1>M54</formula1>
    </dataValidation>
    <dataValidation type="decimal" errorStyle="stop" operator="lessThanOrEqual" allowBlank="1" showDropDown="1" showInputMessage="0" showErrorMessage="1" error="Skor tidak boleh melebihi skor maksimum!" sqref="Q54">
      <formula1>P54</formula1>
    </dataValidation>
    <dataValidation type="decimal" errorStyle="stop" operator="lessThanOrEqual" allowBlank="1" showDropDown="1" showInputMessage="0" showErrorMessage="1" error="Skor tidak boleh melebihi skor maksimum!" sqref="E55">
      <formula1>D55</formula1>
    </dataValidation>
    <dataValidation type="decimal" errorStyle="stop" operator="lessThanOrEqual" allowBlank="1" showDropDown="1" showInputMessage="0" showErrorMessage="1" error="Skor tidak boleh melebihi skor maksimum!" sqref="H55">
      <formula1>G55</formula1>
    </dataValidation>
    <dataValidation type="decimal" errorStyle="stop" operator="lessThanOrEqual" allowBlank="1" showDropDown="1" showInputMessage="0" showErrorMessage="1" error="Skor tidak boleh melebihi skor maksimum!" sqref="K55">
      <formula1>J55</formula1>
    </dataValidation>
    <dataValidation type="decimal" errorStyle="stop" operator="lessThanOrEqual" allowBlank="1" showDropDown="1" showInputMessage="0" showErrorMessage="1" error="Skor tidak boleh melebihi skor maksimum!" sqref="N55">
      <formula1>M55</formula1>
    </dataValidation>
    <dataValidation type="decimal" errorStyle="stop" operator="lessThanOrEqual" allowBlank="1" showDropDown="1" showInputMessage="0" showErrorMessage="1" error="Skor tidak boleh melebihi skor maksimum!" sqref="Q55">
      <formula1>P55</formula1>
    </dataValidation>
    <dataValidation type="decimal" errorStyle="stop" operator="lessThanOrEqual" allowBlank="1" showDropDown="1" showInputMessage="0" showErrorMessage="1" error="Skor tidak boleh melebihi skor maksimum!" sqref="E56">
      <formula1>D56</formula1>
    </dataValidation>
    <dataValidation type="decimal" errorStyle="stop" operator="lessThanOrEqual" allowBlank="1" showDropDown="1" showInputMessage="0" showErrorMessage="1" error="Skor tidak boleh melebihi skor maksimum!" sqref="H56">
      <formula1>G56</formula1>
    </dataValidation>
    <dataValidation type="decimal" errorStyle="stop" operator="lessThanOrEqual" allowBlank="1" showDropDown="1" showInputMessage="0" showErrorMessage="1" error="Skor tidak boleh melebihi skor maksimum!" sqref="K56">
      <formula1>J56</formula1>
    </dataValidation>
    <dataValidation type="decimal" errorStyle="stop" operator="lessThanOrEqual" allowBlank="1" showDropDown="1" showInputMessage="0" showErrorMessage="1" error="Skor tidak boleh melebihi skor maksimum!" sqref="N56">
      <formula1>M56</formula1>
    </dataValidation>
    <dataValidation type="decimal" errorStyle="stop" operator="lessThanOrEqual" allowBlank="1" showDropDown="1" showInputMessage="0" showErrorMessage="1" error="Skor tidak boleh melebihi skor maksimum!" sqref="Q56">
      <formula1>P56</formula1>
    </dataValidation>
    <dataValidation type="decimal" errorStyle="stop" operator="lessThanOrEqual" allowBlank="1" showDropDown="1" showInputMessage="0" showErrorMessage="1" error="Skor tidak boleh melebihi skor maksimum!" sqref="E57">
      <formula1>D57</formula1>
    </dataValidation>
    <dataValidation type="decimal" errorStyle="stop" operator="lessThanOrEqual" allowBlank="1" showDropDown="1" showInputMessage="0" showErrorMessage="1" error="Skor tidak boleh melebihi skor maksimum!" sqref="H57">
      <formula1>G57</formula1>
    </dataValidation>
    <dataValidation type="decimal" errorStyle="stop" operator="lessThanOrEqual" allowBlank="1" showDropDown="1" showInputMessage="0" showErrorMessage="1" error="Skor tidak boleh melebihi skor maksimum!" sqref="K57">
      <formula1>J57</formula1>
    </dataValidation>
    <dataValidation type="decimal" errorStyle="stop" operator="lessThanOrEqual" allowBlank="1" showDropDown="1" showInputMessage="0" showErrorMessage="1" error="Skor tidak boleh melebihi skor maksimum!" sqref="N57">
      <formula1>M57</formula1>
    </dataValidation>
    <dataValidation type="decimal" errorStyle="stop" operator="lessThanOrEqual" allowBlank="1" showDropDown="1" showInputMessage="0" showErrorMessage="1" error="Skor tidak boleh melebihi skor maksimum!" sqref="Q57">
      <formula1>P57</formula1>
    </dataValidation>
    <dataValidation type="decimal" errorStyle="stop" operator="lessThanOrEqual" allowBlank="1" showDropDown="1" showInputMessage="0" showErrorMessage="1" error="Skor tidak boleh melebihi skor maksimum!" sqref="E58">
      <formula1>D58</formula1>
    </dataValidation>
    <dataValidation type="decimal" errorStyle="stop" operator="lessThanOrEqual" allowBlank="1" showDropDown="1" showInputMessage="0" showErrorMessage="1" error="Skor tidak boleh melebihi skor maksimum!" sqref="H58">
      <formula1>G58</formula1>
    </dataValidation>
    <dataValidation type="decimal" errorStyle="stop" operator="lessThanOrEqual" allowBlank="1" showDropDown="1" showInputMessage="0" showErrorMessage="1" error="Skor tidak boleh melebihi skor maksimum!" sqref="K58">
      <formula1>J58</formula1>
    </dataValidation>
    <dataValidation type="decimal" errorStyle="stop" operator="lessThanOrEqual" allowBlank="1" showDropDown="1" showInputMessage="0" showErrorMessage="1" error="Skor tidak boleh melebihi skor maksimum!" sqref="N58">
      <formula1>M58</formula1>
    </dataValidation>
    <dataValidation type="decimal" errorStyle="stop" operator="lessThanOrEqual" allowBlank="1" showDropDown="1" showInputMessage="0" showErrorMessage="1" error="Skor tidak boleh melebihi skor maksimum!" sqref="Q58">
      <formula1>P58</formula1>
    </dataValidation>
    <dataValidation type="decimal" errorStyle="stop" operator="lessThanOrEqual" allowBlank="1" showDropDown="1" showInputMessage="0" showErrorMessage="1" error="Skor tidak boleh melebihi skor maksimum!" sqref="E59">
      <formula1>D59</formula1>
    </dataValidation>
    <dataValidation type="decimal" errorStyle="stop" operator="lessThanOrEqual" allowBlank="1" showDropDown="1" showInputMessage="0" showErrorMessage="1" error="Skor tidak boleh melebihi skor maksimum!" sqref="H59">
      <formula1>G59</formula1>
    </dataValidation>
    <dataValidation type="decimal" errorStyle="stop" operator="lessThanOrEqual" allowBlank="1" showDropDown="1" showInputMessage="0" showErrorMessage="1" error="Skor tidak boleh melebihi skor maksimum!" sqref="K59">
      <formula1>J59</formula1>
    </dataValidation>
    <dataValidation type="decimal" errorStyle="stop" operator="lessThanOrEqual" allowBlank="1" showDropDown="1" showInputMessage="0" showErrorMessage="1" error="Skor tidak boleh melebihi skor maksimum!" sqref="N59">
      <formula1>M59</formula1>
    </dataValidation>
    <dataValidation type="decimal" errorStyle="stop" operator="lessThanOrEqual" allowBlank="1" showDropDown="1" showInputMessage="0" showErrorMessage="1" error="Skor tidak boleh melebihi skor maksimum!" sqref="Q59">
      <formula1>P59</formula1>
    </dataValidation>
    <dataValidation type="decimal" errorStyle="stop" operator="lessThanOrEqual" allowBlank="1" showDropDown="1" showInputMessage="0" showErrorMessage="1" error="Skor tidak boleh melebihi skor maksimum!" sqref="E60">
      <formula1>D60</formula1>
    </dataValidation>
    <dataValidation type="decimal" errorStyle="stop" operator="lessThanOrEqual" allowBlank="1" showDropDown="1" showInputMessage="0" showErrorMessage="1" error="Skor tidak boleh melebihi skor maksimum!" sqref="H60">
      <formula1>G60</formula1>
    </dataValidation>
    <dataValidation type="decimal" errorStyle="stop" operator="lessThanOrEqual" allowBlank="1" showDropDown="1" showInputMessage="0" showErrorMessage="1" error="Skor tidak boleh melebihi skor maksimum!" sqref="K60">
      <formula1>J60</formula1>
    </dataValidation>
    <dataValidation type="decimal" errorStyle="stop" operator="lessThanOrEqual" allowBlank="1" showDropDown="1" showInputMessage="0" showErrorMessage="1" error="Skor tidak boleh melebihi skor maksimum!" sqref="N60">
      <formula1>M60</formula1>
    </dataValidation>
    <dataValidation type="decimal" errorStyle="stop" operator="lessThanOrEqual" allowBlank="1" showDropDown="1" showInputMessage="0" showErrorMessage="1" error="Skor tidak boleh melebihi skor maksimum!" sqref="Q60">
      <formula1>P60</formula1>
    </dataValidation>
    <dataValidation type="decimal" errorStyle="stop" operator="lessThanOrEqual" allowBlank="1" showDropDown="1" showInputMessage="0" showErrorMessage="1" error="Skor tidak boleh melebihi skor maksimum!" sqref="E61">
      <formula1>D61</formula1>
    </dataValidation>
    <dataValidation type="decimal" errorStyle="stop" operator="lessThanOrEqual" allowBlank="1" showDropDown="1" showInputMessage="0" showErrorMessage="1" error="Skor tidak boleh melebihi skor maksimum!" sqref="H61">
      <formula1>G61</formula1>
    </dataValidation>
    <dataValidation type="decimal" errorStyle="stop" operator="lessThanOrEqual" allowBlank="1" showDropDown="1" showInputMessage="0" showErrorMessage="1" error="Skor tidak boleh melebihi skor maksimum!" sqref="K61">
      <formula1>J61</formula1>
    </dataValidation>
    <dataValidation type="decimal" errorStyle="stop" operator="lessThanOrEqual" allowBlank="1" showDropDown="1" showInputMessage="0" showErrorMessage="1" error="Skor tidak boleh melebihi skor maksimum!" sqref="N61">
      <formula1>M61</formula1>
    </dataValidation>
    <dataValidation type="decimal" errorStyle="stop" operator="lessThanOrEqual" allowBlank="1" showDropDown="1" showInputMessage="0" showErrorMessage="1" error="Skor tidak boleh melebihi skor maksimum!" sqref="Q61">
      <formula1>P61</formula1>
    </dataValidation>
    <dataValidation type="decimal" errorStyle="stop" operator="lessThanOrEqual" allowBlank="1" showDropDown="1" showInputMessage="0" showErrorMessage="1" error="Skor tidak boleh melebihi skor maksimum!" sqref="E62">
      <formula1>D62</formula1>
    </dataValidation>
    <dataValidation type="decimal" errorStyle="stop" operator="lessThanOrEqual" allowBlank="1" showDropDown="1" showInputMessage="0" showErrorMessage="1" error="Skor tidak boleh melebihi skor maksimum!" sqref="H62">
      <formula1>G62</formula1>
    </dataValidation>
    <dataValidation type="decimal" errorStyle="stop" operator="lessThanOrEqual" allowBlank="1" showDropDown="1" showInputMessage="0" showErrorMessage="1" error="Skor tidak boleh melebihi skor maksimum!" sqref="K62">
      <formula1>J62</formula1>
    </dataValidation>
    <dataValidation type="decimal" errorStyle="stop" operator="lessThanOrEqual" allowBlank="1" showDropDown="1" showInputMessage="0" showErrorMessage="1" error="Skor tidak boleh melebihi skor maksimum!" sqref="N62">
      <formula1>M62</formula1>
    </dataValidation>
    <dataValidation type="decimal" errorStyle="stop" operator="lessThanOrEqual" allowBlank="1" showDropDown="1" showInputMessage="0" showErrorMessage="1" error="Skor tidak boleh melebihi skor maksimum!" sqref="Q62">
      <formula1>P62</formula1>
    </dataValidation>
    <dataValidation type="decimal" errorStyle="stop" operator="lessThanOrEqual" allowBlank="1" showDropDown="1" showInputMessage="0" showErrorMessage="1" error="Skor tidak boleh melebihi skor maksimum!" sqref="E63">
      <formula1>D63</formula1>
    </dataValidation>
    <dataValidation type="decimal" errorStyle="stop" operator="lessThanOrEqual" allowBlank="1" showDropDown="1" showInputMessage="0" showErrorMessage="1" error="Skor tidak boleh melebihi skor maksimum!" sqref="H63">
      <formula1>G63</formula1>
    </dataValidation>
    <dataValidation type="decimal" errorStyle="stop" operator="lessThanOrEqual" allowBlank="1" showDropDown="1" showInputMessage="0" showErrorMessage="1" error="Skor tidak boleh melebihi skor maksimum!" sqref="K63">
      <formula1>J63</formula1>
    </dataValidation>
    <dataValidation type="decimal" errorStyle="stop" operator="lessThanOrEqual" allowBlank="1" showDropDown="1" showInputMessage="0" showErrorMessage="1" error="Skor tidak boleh melebihi skor maksimum!" sqref="N63">
      <formula1>M63</formula1>
    </dataValidation>
    <dataValidation type="decimal" errorStyle="stop" operator="lessThanOrEqual" allowBlank="1" showDropDown="1" showInputMessage="0" showErrorMessage="1" error="Skor tidak boleh melebihi skor maksimum!" sqref="Q63">
      <formula1>P63</formula1>
    </dataValidation>
    <dataValidation type="decimal" errorStyle="stop" operator="lessThanOrEqual" allowBlank="1" showDropDown="1" showInputMessage="0" showErrorMessage="1" error="Skor tidak boleh melebihi skor maksimum!" sqref="E64">
      <formula1>D64</formula1>
    </dataValidation>
    <dataValidation type="decimal" errorStyle="stop" operator="lessThanOrEqual" allowBlank="1" showDropDown="1" showInputMessage="0" showErrorMessage="1" error="Skor tidak boleh melebihi skor maksimum!" sqref="H64">
      <formula1>G64</formula1>
    </dataValidation>
    <dataValidation type="decimal" errorStyle="stop" operator="lessThanOrEqual" allowBlank="1" showDropDown="1" showInputMessage="0" showErrorMessage="1" error="Skor tidak boleh melebihi skor maksimum!" sqref="K64">
      <formula1>J64</formula1>
    </dataValidation>
    <dataValidation type="decimal" errorStyle="stop" operator="lessThanOrEqual" allowBlank="1" showDropDown="1" showInputMessage="0" showErrorMessage="1" error="Skor tidak boleh melebihi skor maksimum!" sqref="N64">
      <formula1>M64</formula1>
    </dataValidation>
    <dataValidation type="decimal" errorStyle="stop" operator="lessThanOrEqual" allowBlank="1" showDropDown="1" showInputMessage="0" showErrorMessage="1" error="Skor tidak boleh melebihi skor maksimum!" sqref="Q64">
      <formula1>P64</formula1>
    </dataValidation>
    <dataValidation type="decimal" errorStyle="stop" operator="lessThanOrEqual" allowBlank="1" showDropDown="1" showInputMessage="0" showErrorMessage="1" error="Skor tidak boleh melebihi skor maksimum!" sqref="E65">
      <formula1>D65</formula1>
    </dataValidation>
    <dataValidation type="decimal" errorStyle="stop" operator="lessThanOrEqual" allowBlank="1" showDropDown="1" showInputMessage="0" showErrorMessage="1" error="Skor tidak boleh melebihi skor maksimum!" sqref="H65">
      <formula1>G65</formula1>
    </dataValidation>
    <dataValidation type="decimal" errorStyle="stop" operator="lessThanOrEqual" allowBlank="1" showDropDown="1" showInputMessage="0" showErrorMessage="1" error="Skor tidak boleh melebihi skor maksimum!" sqref="K65">
      <formula1>J65</formula1>
    </dataValidation>
    <dataValidation type="decimal" errorStyle="stop" operator="lessThanOrEqual" allowBlank="1" showDropDown="1" showInputMessage="0" showErrorMessage="1" error="Skor tidak boleh melebihi skor maksimum!" sqref="N65">
      <formula1>M65</formula1>
    </dataValidation>
    <dataValidation type="decimal" errorStyle="stop" operator="lessThanOrEqual" allowBlank="1" showDropDown="1" showInputMessage="0" showErrorMessage="1" error="Skor tidak boleh melebihi skor maksimum!" sqref="Q65">
      <formula1>P65</formula1>
    </dataValidation>
    <dataValidation type="decimal" errorStyle="stop" operator="lessThanOrEqual" allowBlank="1" showDropDown="1" showInputMessage="0" showErrorMessage="1" error="Skor tidak boleh melebihi skor maksimum!" sqref="E66">
      <formula1>D66</formula1>
    </dataValidation>
    <dataValidation type="decimal" errorStyle="stop" operator="lessThanOrEqual" allowBlank="1" showDropDown="1" showInputMessage="0" showErrorMessage="1" error="Skor tidak boleh melebihi skor maksimum!" sqref="H66">
      <formula1>G66</formula1>
    </dataValidation>
    <dataValidation type="decimal" errorStyle="stop" operator="lessThanOrEqual" allowBlank="1" showDropDown="1" showInputMessage="0" showErrorMessage="1" error="Skor tidak boleh melebihi skor maksimum!" sqref="K66">
      <formula1>J66</formula1>
    </dataValidation>
    <dataValidation type="decimal" errorStyle="stop" operator="lessThanOrEqual" allowBlank="1" showDropDown="1" showInputMessage="0" showErrorMessage="1" error="Skor tidak boleh melebihi skor maksimum!" sqref="N66">
      <formula1>M66</formula1>
    </dataValidation>
    <dataValidation type="decimal" errorStyle="stop" operator="lessThanOrEqual" allowBlank="1" showDropDown="1" showInputMessage="0" showErrorMessage="1" error="Skor tidak boleh melebihi skor maksimum!" sqref="Q66">
      <formula1>P66</formula1>
    </dataValidation>
    <dataValidation type="decimal" errorStyle="stop" operator="lessThanOrEqual" allowBlank="1" showDropDown="1" showInputMessage="0" showErrorMessage="1" error="Skor tidak boleh melebihi skor maksimum!" sqref="E67">
      <formula1>D67</formula1>
    </dataValidation>
    <dataValidation type="decimal" errorStyle="stop" operator="lessThanOrEqual" allowBlank="1" showDropDown="1" showInputMessage="0" showErrorMessage="1" error="Skor tidak boleh melebihi skor maksimum!" sqref="H67">
      <formula1>G67</formula1>
    </dataValidation>
    <dataValidation type="decimal" errorStyle="stop" operator="lessThanOrEqual" allowBlank="1" showDropDown="1" showInputMessage="0" showErrorMessage="1" error="Skor tidak boleh melebihi skor maksimum!" sqref="K67">
      <formula1>J67</formula1>
    </dataValidation>
    <dataValidation type="decimal" errorStyle="stop" operator="lessThanOrEqual" allowBlank="1" showDropDown="1" showInputMessage="0" showErrorMessage="1" error="Skor tidak boleh melebihi skor maksimum!" sqref="N67">
      <formula1>M67</formula1>
    </dataValidation>
    <dataValidation type="decimal" errorStyle="stop" operator="lessThanOrEqual" allowBlank="1" showDropDown="1" showInputMessage="0" showErrorMessage="1" error="Skor tidak boleh melebihi skor maksimum!" sqref="Q67">
      <formula1>P67</formula1>
    </dataValidation>
    <dataValidation type="decimal" errorStyle="stop" operator="lessThanOrEqual" allowBlank="1" showDropDown="1" showInputMessage="0" showErrorMessage="1" error="Skor tidak boleh melebihi skor maksimum!" sqref="E68">
      <formula1>D68</formula1>
    </dataValidation>
    <dataValidation type="decimal" errorStyle="stop" operator="lessThanOrEqual" allowBlank="1" showDropDown="1" showInputMessage="0" showErrorMessage="1" error="Skor tidak boleh melebihi skor maksimum!" sqref="H68">
      <formula1>G68</formula1>
    </dataValidation>
    <dataValidation type="decimal" errorStyle="stop" operator="lessThanOrEqual" allowBlank="1" showDropDown="1" showInputMessage="0" showErrorMessage="1" error="Skor tidak boleh melebihi skor maksimum!" sqref="K68">
      <formula1>J68</formula1>
    </dataValidation>
    <dataValidation type="decimal" errorStyle="stop" operator="lessThanOrEqual" allowBlank="1" showDropDown="1" showInputMessage="0" showErrorMessage="1" error="Skor tidak boleh melebihi skor maksimum!" sqref="N68">
      <formula1>M68</formula1>
    </dataValidation>
    <dataValidation type="decimal" errorStyle="stop" operator="lessThanOrEqual" allowBlank="1" showDropDown="1" showInputMessage="0" showErrorMessage="1" error="Skor tidak boleh melebihi skor maksimum!" sqref="Q68">
      <formula1>P68</formula1>
    </dataValidation>
    <dataValidation type="decimal" errorStyle="stop" operator="lessThanOrEqual" allowBlank="1" showDropDown="1" showInputMessage="0" showErrorMessage="1" error="Skor tidak boleh melebihi skor maksimum!" sqref="E69">
      <formula1>D69</formula1>
    </dataValidation>
    <dataValidation type="decimal" errorStyle="stop" operator="lessThanOrEqual" allowBlank="1" showDropDown="1" showInputMessage="0" showErrorMessage="1" error="Skor tidak boleh melebihi skor maksimum!" sqref="H69">
      <formula1>G69</formula1>
    </dataValidation>
    <dataValidation type="decimal" errorStyle="stop" operator="lessThanOrEqual" allowBlank="1" showDropDown="1" showInputMessage="0" showErrorMessage="1" error="Skor tidak boleh melebihi skor maksimum!" sqref="K69">
      <formula1>J69</formula1>
    </dataValidation>
    <dataValidation type="decimal" errorStyle="stop" operator="lessThanOrEqual" allowBlank="1" showDropDown="1" showInputMessage="0" showErrorMessage="1" error="Skor tidak boleh melebihi skor maksimum!" sqref="N69">
      <formula1>M69</formula1>
    </dataValidation>
    <dataValidation type="decimal" errorStyle="stop" operator="lessThanOrEqual" allowBlank="1" showDropDown="1" showInputMessage="0" showErrorMessage="1" error="Skor tidak boleh melebihi skor maksimum!" sqref="Q69">
      <formula1>P69</formula1>
    </dataValidation>
    <dataValidation type="decimal" errorStyle="stop" operator="lessThanOrEqual" allowBlank="1" showDropDown="1" showInputMessage="0" showErrorMessage="1" error="Skor tidak boleh melebihi skor maksimum!" sqref="E70">
      <formula1>D70</formula1>
    </dataValidation>
    <dataValidation type="decimal" errorStyle="stop" operator="lessThanOrEqual" allowBlank="1" showDropDown="1" showInputMessage="0" showErrorMessage="1" error="Skor tidak boleh melebihi skor maksimum!" sqref="H70">
      <formula1>G70</formula1>
    </dataValidation>
    <dataValidation type="decimal" errorStyle="stop" operator="lessThanOrEqual" allowBlank="1" showDropDown="1" showInputMessage="0" showErrorMessage="1" error="Skor tidak boleh melebihi skor maksimum!" sqref="K70">
      <formula1>J70</formula1>
    </dataValidation>
    <dataValidation type="decimal" errorStyle="stop" operator="lessThanOrEqual" allowBlank="1" showDropDown="1" showInputMessage="0" showErrorMessage="1" error="Skor tidak boleh melebihi skor maksimum!" sqref="N70">
      <formula1>M70</formula1>
    </dataValidation>
    <dataValidation type="decimal" errorStyle="stop" operator="lessThanOrEqual" allowBlank="1" showDropDown="1" showInputMessage="0" showErrorMessage="1" error="Skor tidak boleh melebihi skor maksimum!" sqref="Q70">
      <formula1>P70</formula1>
    </dataValidation>
    <dataValidation type="decimal" errorStyle="stop" operator="lessThanOrEqual" allowBlank="1" showDropDown="1" showInputMessage="0" showErrorMessage="1" error="Skor tidak boleh melebihi skor maksimum!" sqref="E71">
      <formula1>D71</formula1>
    </dataValidation>
    <dataValidation type="decimal" errorStyle="stop" operator="lessThanOrEqual" allowBlank="1" showDropDown="1" showInputMessage="0" showErrorMessage="1" error="Skor tidak boleh melebihi skor maksimum!" sqref="H71">
      <formula1>G71</formula1>
    </dataValidation>
    <dataValidation type="decimal" errorStyle="stop" operator="lessThanOrEqual" allowBlank="1" showDropDown="1" showInputMessage="0" showErrorMessage="1" error="Skor tidak boleh melebihi skor maksimum!" sqref="K71">
      <formula1>J71</formula1>
    </dataValidation>
    <dataValidation type="decimal" errorStyle="stop" operator="lessThanOrEqual" allowBlank="1" showDropDown="1" showInputMessage="0" showErrorMessage="1" error="Skor tidak boleh melebihi skor maksimum!" sqref="N71">
      <formula1>M71</formula1>
    </dataValidation>
    <dataValidation type="decimal" errorStyle="stop" operator="lessThanOrEqual" allowBlank="1" showDropDown="1" showInputMessage="0" showErrorMessage="1" error="Skor tidak boleh melebihi skor maksimum!" sqref="Q71">
      <formula1>P71</formula1>
    </dataValidation>
    <dataValidation type="decimal" errorStyle="stop" operator="lessThanOrEqual" allowBlank="1" showDropDown="1" showInputMessage="0" showErrorMessage="1" error="Skor tidak boleh melebihi skor maksimum!" sqref="E72">
      <formula1>D72</formula1>
    </dataValidation>
    <dataValidation type="decimal" errorStyle="stop" operator="lessThanOrEqual" allowBlank="1" showDropDown="1" showInputMessage="0" showErrorMessage="1" error="Skor tidak boleh melebihi skor maksimum!" sqref="H72">
      <formula1>G72</formula1>
    </dataValidation>
    <dataValidation type="decimal" errorStyle="stop" operator="lessThanOrEqual" allowBlank="1" showDropDown="1" showInputMessage="0" showErrorMessage="1" error="Skor tidak boleh melebihi skor maksimum!" sqref="K72">
      <formula1>J72</formula1>
    </dataValidation>
    <dataValidation type="decimal" errorStyle="stop" operator="lessThanOrEqual" allowBlank="1" showDropDown="1" showInputMessage="0" showErrorMessage="1" error="Skor tidak boleh melebihi skor maksimum!" sqref="N72">
      <formula1>M72</formula1>
    </dataValidation>
    <dataValidation type="decimal" errorStyle="stop" operator="lessThanOrEqual" allowBlank="1" showDropDown="1" showInputMessage="0" showErrorMessage="1" error="Skor tidak boleh melebihi skor maksimum!" sqref="Q72">
      <formula1>P72</formula1>
    </dataValidation>
    <dataValidation type="decimal" errorStyle="stop" operator="lessThanOrEqual" allowBlank="1" showDropDown="1" showInputMessage="0" showErrorMessage="1" error="Skor tidak boleh melebihi skor maksimum!" sqref="E73">
      <formula1>D73</formula1>
    </dataValidation>
    <dataValidation type="decimal" errorStyle="stop" operator="lessThanOrEqual" allowBlank="1" showDropDown="1" showInputMessage="0" showErrorMessage="1" error="Skor tidak boleh melebihi skor maksimum!" sqref="H73">
      <formula1>G73</formula1>
    </dataValidation>
    <dataValidation type="decimal" errorStyle="stop" operator="lessThanOrEqual" allowBlank="1" showDropDown="1" showInputMessage="0" showErrorMessage="1" error="Skor tidak boleh melebihi skor maksimum!" sqref="K73">
      <formula1>J73</formula1>
    </dataValidation>
    <dataValidation type="decimal" errorStyle="stop" operator="lessThanOrEqual" allowBlank="1" showDropDown="1" showInputMessage="0" showErrorMessage="1" error="Skor tidak boleh melebihi skor maksimum!" sqref="N73">
      <formula1>M73</formula1>
    </dataValidation>
    <dataValidation type="decimal" errorStyle="stop" operator="lessThanOrEqual" allowBlank="1" showDropDown="1" showInputMessage="0" showErrorMessage="1" error="Skor tidak boleh melebihi skor maksimum!" sqref="Q73">
      <formula1>P73</formula1>
    </dataValidation>
    <dataValidation type="decimal" errorStyle="stop" operator="lessThanOrEqual" allowBlank="1" showDropDown="1" showInputMessage="0" showErrorMessage="1" error="Skor tidak boleh melebihi skor maksimum!" sqref="E74">
      <formula1>D74</formula1>
    </dataValidation>
    <dataValidation type="decimal" errorStyle="stop" operator="lessThanOrEqual" allowBlank="1" showDropDown="1" showInputMessage="0" showErrorMessage="1" error="Skor tidak boleh melebihi skor maksimum!" sqref="H74">
      <formula1>G74</formula1>
    </dataValidation>
    <dataValidation type="decimal" errorStyle="stop" operator="lessThanOrEqual" allowBlank="1" showDropDown="1" showInputMessage="0" showErrorMessage="1" error="Skor tidak boleh melebihi skor maksimum!" sqref="K74">
      <formula1>J74</formula1>
    </dataValidation>
    <dataValidation type="decimal" errorStyle="stop" operator="lessThanOrEqual" allowBlank="1" showDropDown="1" showInputMessage="0" showErrorMessage="1" error="Skor tidak boleh melebihi skor maksimum!" sqref="N74">
      <formula1>M74</formula1>
    </dataValidation>
    <dataValidation type="decimal" errorStyle="stop" operator="lessThanOrEqual" allowBlank="1" showDropDown="1" showInputMessage="0" showErrorMessage="1" error="Skor tidak boleh melebihi skor maksimum!" sqref="Q74">
      <formula1>P74</formula1>
    </dataValidation>
    <dataValidation type="decimal" errorStyle="stop" operator="lessThanOrEqual" allowBlank="1" showDropDown="1" showInputMessage="0" showErrorMessage="1" error="Skor tidak boleh melebihi skor maksimum!" sqref="E75">
      <formula1>D75</formula1>
    </dataValidation>
    <dataValidation type="decimal" errorStyle="stop" operator="lessThanOrEqual" allowBlank="1" showDropDown="1" showInputMessage="0" showErrorMessage="1" error="Skor tidak boleh melebihi skor maksimum!" sqref="H75">
      <formula1>G75</formula1>
    </dataValidation>
    <dataValidation type="decimal" errorStyle="stop" operator="lessThanOrEqual" allowBlank="1" showDropDown="1" showInputMessage="0" showErrorMessage="1" error="Skor tidak boleh melebihi skor maksimum!" sqref="K75">
      <formula1>J75</formula1>
    </dataValidation>
    <dataValidation type="decimal" errorStyle="stop" operator="lessThanOrEqual" allowBlank="1" showDropDown="1" showInputMessage="0" showErrorMessage="1" error="Skor tidak boleh melebihi skor maksimum!" sqref="N75">
      <formula1>M75</formula1>
    </dataValidation>
    <dataValidation type="decimal" errorStyle="stop" operator="lessThanOrEqual" allowBlank="1" showDropDown="1" showInputMessage="0" showErrorMessage="1" error="Skor tidak boleh melebihi skor maksimum!" sqref="Q75">
      <formula1>P75</formula1>
    </dataValidation>
    <dataValidation type="decimal" errorStyle="stop" operator="lessThanOrEqual" allowBlank="1" showDropDown="1" showInputMessage="0" showErrorMessage="1" error="Skor tidak boleh melebihi skor maksimum!" sqref="E76">
      <formula1>D76</formula1>
    </dataValidation>
    <dataValidation type="decimal" errorStyle="stop" operator="lessThanOrEqual" allowBlank="1" showDropDown="1" showInputMessage="0" showErrorMessage="1" error="Skor tidak boleh melebihi skor maksimum!" sqref="H76">
      <formula1>G76</formula1>
    </dataValidation>
    <dataValidation type="decimal" errorStyle="stop" operator="lessThanOrEqual" allowBlank="1" showDropDown="1" showInputMessage="0" showErrorMessage="1" error="Skor tidak boleh melebihi skor maksimum!" sqref="K76">
      <formula1>J76</formula1>
    </dataValidation>
    <dataValidation type="decimal" errorStyle="stop" operator="lessThanOrEqual" allowBlank="1" showDropDown="1" showInputMessage="0" showErrorMessage="1" error="Skor tidak boleh melebihi skor maksimum!" sqref="N76">
      <formula1>M76</formula1>
    </dataValidation>
    <dataValidation type="decimal" errorStyle="stop" operator="lessThanOrEqual" allowBlank="1" showDropDown="1" showInputMessage="0" showErrorMessage="1" error="Skor tidak boleh melebihi skor maksimum!" sqref="Q76">
      <formula1>P76</formula1>
    </dataValidation>
    <dataValidation type="decimal" errorStyle="stop" operator="lessThanOrEqual" allowBlank="1" showDropDown="1" showInputMessage="0" showErrorMessage="1" error="Skor tidak boleh melebihi skor maksimum!" sqref="E77">
      <formula1>D77</formula1>
    </dataValidation>
    <dataValidation type="decimal" errorStyle="stop" operator="lessThanOrEqual" allowBlank="1" showDropDown="1" showInputMessage="0" showErrorMessage="1" error="Skor tidak boleh melebihi skor maksimum!" sqref="H77">
      <formula1>G77</formula1>
    </dataValidation>
    <dataValidation type="decimal" errorStyle="stop" operator="lessThanOrEqual" allowBlank="1" showDropDown="1" showInputMessage="0" showErrorMessage="1" error="Skor tidak boleh melebihi skor maksimum!" sqref="K77">
      <formula1>J77</formula1>
    </dataValidation>
    <dataValidation type="decimal" errorStyle="stop" operator="lessThanOrEqual" allowBlank="1" showDropDown="1" showInputMessage="0" showErrorMessage="1" error="Skor tidak boleh melebihi skor maksimum!" sqref="N77">
      <formula1>M77</formula1>
    </dataValidation>
    <dataValidation type="decimal" errorStyle="stop" operator="lessThanOrEqual" allowBlank="1" showDropDown="1" showInputMessage="0" showErrorMessage="1" error="Skor tidak boleh melebihi skor maksimum!" sqref="Q77">
      <formula1>P77</formula1>
    </dataValidation>
    <dataValidation type="decimal" errorStyle="stop" operator="lessThanOrEqual" allowBlank="1" showDropDown="1" showInputMessage="0" showErrorMessage="1" error="Skor tidak boleh melebihi skor maksimum!" sqref="E78">
      <formula1>D78</formula1>
    </dataValidation>
    <dataValidation type="decimal" errorStyle="stop" operator="lessThanOrEqual" allowBlank="1" showDropDown="1" showInputMessage="0" showErrorMessage="1" error="Skor tidak boleh melebihi skor maksimum!" sqref="H78">
      <formula1>G78</formula1>
    </dataValidation>
    <dataValidation type="decimal" errorStyle="stop" operator="lessThanOrEqual" allowBlank="1" showDropDown="1" showInputMessage="0" showErrorMessage="1" error="Skor tidak boleh melebihi skor maksimum!" sqref="K78">
      <formula1>J78</formula1>
    </dataValidation>
    <dataValidation type="decimal" errorStyle="stop" operator="lessThanOrEqual" allowBlank="1" showDropDown="1" showInputMessage="0" showErrorMessage="1" error="Skor tidak boleh melebihi skor maksimum!" sqref="N78">
      <formula1>M78</formula1>
    </dataValidation>
    <dataValidation type="decimal" errorStyle="stop" operator="lessThanOrEqual" allowBlank="1" showDropDown="1" showInputMessage="0" showErrorMessage="1" error="Skor tidak boleh melebihi skor maksimum!" sqref="Q78">
      <formula1>P78</formula1>
    </dataValidation>
    <dataValidation type="decimal" errorStyle="stop" operator="lessThanOrEqual" allowBlank="1" showDropDown="1" showInputMessage="0" showErrorMessage="1" error="Skor tidak boleh melebihi skor maksimum!" sqref="E79">
      <formula1>D79</formula1>
    </dataValidation>
    <dataValidation type="decimal" errorStyle="stop" operator="lessThanOrEqual" allowBlank="1" showDropDown="1" showInputMessage="0" showErrorMessage="1" error="Skor tidak boleh melebihi skor maksimum!" sqref="H79">
      <formula1>G79</formula1>
    </dataValidation>
    <dataValidation type="decimal" errorStyle="stop" operator="lessThanOrEqual" allowBlank="1" showDropDown="1" showInputMessage="0" showErrorMessage="1" error="Skor tidak boleh melebihi skor maksimum!" sqref="K79">
      <formula1>J79</formula1>
    </dataValidation>
    <dataValidation type="decimal" errorStyle="stop" operator="lessThanOrEqual" allowBlank="1" showDropDown="1" showInputMessage="0" showErrorMessage="1" error="Skor tidak boleh melebihi skor maksimum!" sqref="N79">
      <formula1>M79</formula1>
    </dataValidation>
    <dataValidation type="decimal" errorStyle="stop" operator="lessThanOrEqual" allowBlank="1" showDropDown="1" showInputMessage="0" showErrorMessage="1" error="Skor tidak boleh melebihi skor maksimum!" sqref="Q79">
      <formula1>P79</formula1>
    </dataValidation>
    <dataValidation type="decimal" errorStyle="stop" operator="lessThanOrEqual" allowBlank="1" showDropDown="1" showInputMessage="0" showErrorMessage="1" error="Skor tidak boleh melebihi skor maksimum!" sqref="E80">
      <formula1>D80</formula1>
    </dataValidation>
    <dataValidation type="decimal" errorStyle="stop" operator="lessThanOrEqual" allowBlank="1" showDropDown="1" showInputMessage="0" showErrorMessage="1" error="Skor tidak boleh melebihi skor maksimum!" sqref="H80">
      <formula1>G80</formula1>
    </dataValidation>
    <dataValidation type="decimal" errorStyle="stop" operator="lessThanOrEqual" allowBlank="1" showDropDown="1" showInputMessage="0" showErrorMessage="1" error="Skor tidak boleh melebihi skor maksimum!" sqref="K80">
      <formula1>J80</formula1>
    </dataValidation>
    <dataValidation type="decimal" errorStyle="stop" operator="lessThanOrEqual" allowBlank="1" showDropDown="1" showInputMessage="0" showErrorMessage="1" error="Skor tidak boleh melebihi skor maksimum!" sqref="N80">
      <formula1>M80</formula1>
    </dataValidation>
    <dataValidation type="decimal" errorStyle="stop" operator="lessThanOrEqual" allowBlank="1" showDropDown="1" showInputMessage="0" showErrorMessage="1" error="Skor tidak boleh melebihi skor maksimum!" sqref="Q80">
      <formula1>P80</formula1>
    </dataValidation>
    <dataValidation type="decimal" errorStyle="stop" operator="lessThanOrEqual" allowBlank="1" showDropDown="1" showInputMessage="0" showErrorMessage="1" error="Skor tidak boleh melebihi skor maksimum!" sqref="E81">
      <formula1>D81</formula1>
    </dataValidation>
    <dataValidation type="decimal" errorStyle="stop" operator="lessThanOrEqual" allowBlank="1" showDropDown="1" showInputMessage="0" showErrorMessage="1" error="Skor tidak boleh melebihi skor maksimum!" sqref="H81">
      <formula1>G81</formula1>
    </dataValidation>
    <dataValidation type="decimal" errorStyle="stop" operator="lessThanOrEqual" allowBlank="1" showDropDown="1" showInputMessage="0" showErrorMessage="1" error="Skor tidak boleh melebihi skor maksimum!" sqref="K81">
      <formula1>J81</formula1>
    </dataValidation>
    <dataValidation type="decimal" errorStyle="stop" operator="lessThanOrEqual" allowBlank="1" showDropDown="1" showInputMessage="0" showErrorMessage="1" error="Skor tidak boleh melebihi skor maksimum!" sqref="N81">
      <formula1>M81</formula1>
    </dataValidation>
    <dataValidation type="decimal" errorStyle="stop" operator="lessThanOrEqual" allowBlank="1" showDropDown="1" showInputMessage="0" showErrorMessage="1" error="Skor tidak boleh melebihi skor maksimum!" sqref="Q81">
      <formula1>P81</formula1>
    </dataValidation>
    <dataValidation type="decimal" errorStyle="stop" operator="lessThanOrEqual" allowBlank="1" showDropDown="1" showInputMessage="0" showErrorMessage="1" error="Skor tidak boleh melebihi skor maksimum!" sqref="E82">
      <formula1>D82</formula1>
    </dataValidation>
    <dataValidation type="decimal" errorStyle="stop" operator="lessThanOrEqual" allowBlank="1" showDropDown="1" showInputMessage="0" showErrorMessage="1" error="Skor tidak boleh melebihi skor maksimum!" sqref="H82">
      <formula1>G82</formula1>
    </dataValidation>
    <dataValidation type="decimal" errorStyle="stop" operator="lessThanOrEqual" allowBlank="1" showDropDown="1" showInputMessage="0" showErrorMessage="1" error="Skor tidak boleh melebihi skor maksimum!" sqref="K82">
      <formula1>J82</formula1>
    </dataValidation>
    <dataValidation type="decimal" errorStyle="stop" operator="lessThanOrEqual" allowBlank="1" showDropDown="1" showInputMessage="0" showErrorMessage="1" error="Skor tidak boleh melebihi skor maksimum!" sqref="N82">
      <formula1>M82</formula1>
    </dataValidation>
    <dataValidation type="decimal" errorStyle="stop" operator="lessThanOrEqual" allowBlank="1" showDropDown="1" showInputMessage="0" showErrorMessage="1" error="Skor tidak boleh melebihi skor maksimum!" sqref="Q82">
      <formula1>P82</formula1>
    </dataValidation>
    <dataValidation type="decimal" errorStyle="stop" operator="lessThanOrEqual" allowBlank="1" showDropDown="1" showInputMessage="0" showErrorMessage="1" error="Skor tidak boleh melebihi skor maksimum!" sqref="E83">
      <formula1>D83</formula1>
    </dataValidation>
    <dataValidation type="decimal" errorStyle="stop" operator="lessThanOrEqual" allowBlank="1" showDropDown="1" showInputMessage="0" showErrorMessage="1" error="Skor tidak boleh melebihi skor maksimum!" sqref="H83">
      <formula1>G83</formula1>
    </dataValidation>
    <dataValidation type="decimal" errorStyle="stop" operator="lessThanOrEqual" allowBlank="1" showDropDown="1" showInputMessage="0" showErrorMessage="1" error="Skor tidak boleh melebihi skor maksimum!" sqref="K83">
      <formula1>J83</formula1>
    </dataValidation>
    <dataValidation type="decimal" errorStyle="stop" operator="lessThanOrEqual" allowBlank="1" showDropDown="1" showInputMessage="0" showErrorMessage="1" error="Skor tidak boleh melebihi skor maksimum!" sqref="N83">
      <formula1>M83</formula1>
    </dataValidation>
    <dataValidation type="decimal" errorStyle="stop" operator="lessThanOrEqual" allowBlank="1" showDropDown="1" showInputMessage="0" showErrorMessage="1" error="Skor tidak boleh melebihi skor maksimum!" sqref="Q83">
      <formula1>P83</formula1>
    </dataValidation>
    <dataValidation type="decimal" errorStyle="stop" operator="lessThanOrEqual" allowBlank="1" showDropDown="1" showInputMessage="0" showErrorMessage="1" error="Skor tidak boleh melebihi skor maksimum!" sqref="E84">
      <formula1>D84</formula1>
    </dataValidation>
    <dataValidation type="decimal" errorStyle="stop" operator="lessThanOrEqual" allowBlank="1" showDropDown="1" showInputMessage="0" showErrorMessage="1" error="Skor tidak boleh melebihi skor maksimum!" sqref="H84">
      <formula1>G84</formula1>
    </dataValidation>
    <dataValidation type="decimal" errorStyle="stop" operator="lessThanOrEqual" allowBlank="1" showDropDown="1" showInputMessage="0" showErrorMessage="1" error="Skor tidak boleh melebihi skor maksimum!" sqref="K84">
      <formula1>J84</formula1>
    </dataValidation>
    <dataValidation type="decimal" errorStyle="stop" operator="lessThanOrEqual" allowBlank="1" showDropDown="1" showInputMessage="0" showErrorMessage="1" error="Skor tidak boleh melebihi skor maksimum!" sqref="N84">
      <formula1>M84</formula1>
    </dataValidation>
    <dataValidation type="decimal" errorStyle="stop" operator="lessThanOrEqual" allowBlank="1" showDropDown="1" showInputMessage="0" showErrorMessage="1" error="Skor tidak boleh melebihi skor maksimum!" sqref="Q84">
      <formula1>P84</formula1>
    </dataValidation>
    <dataValidation type="decimal" errorStyle="stop" operator="lessThanOrEqual" allowBlank="1" showDropDown="1" showInputMessage="0" showErrorMessage="1" error="Skor tidak boleh melebihi skor maksimum!" sqref="E85">
      <formula1>D85</formula1>
    </dataValidation>
    <dataValidation type="decimal" errorStyle="stop" operator="lessThanOrEqual" allowBlank="1" showDropDown="1" showInputMessage="0" showErrorMessage="1" error="Skor tidak boleh melebihi skor maksimum!" sqref="H85">
      <formula1>G85</formula1>
    </dataValidation>
    <dataValidation type="decimal" errorStyle="stop" operator="lessThanOrEqual" allowBlank="1" showDropDown="1" showInputMessage="0" showErrorMessage="1" error="Skor tidak boleh melebihi skor maksimum!" sqref="K85">
      <formula1>J85</formula1>
    </dataValidation>
    <dataValidation type="decimal" errorStyle="stop" operator="lessThanOrEqual" allowBlank="1" showDropDown="1" showInputMessage="0" showErrorMessage="1" error="Skor tidak boleh melebihi skor maksimum!" sqref="N85">
      <formula1>M85</formula1>
    </dataValidation>
    <dataValidation type="decimal" errorStyle="stop" operator="lessThanOrEqual" allowBlank="1" showDropDown="1" showInputMessage="0" showErrorMessage="1" error="Skor tidak boleh melebihi skor maksimum!" sqref="Q85">
      <formula1>P85</formula1>
    </dataValidation>
    <dataValidation type="decimal" errorStyle="stop" operator="lessThanOrEqual" allowBlank="1" showDropDown="1" showInputMessage="0" showErrorMessage="1" error="Skor tidak boleh melebihi skor maksimum!" sqref="E86">
      <formula1>D86</formula1>
    </dataValidation>
    <dataValidation type="decimal" errorStyle="stop" operator="lessThanOrEqual" allowBlank="1" showDropDown="1" showInputMessage="0" showErrorMessage="1" error="Skor tidak boleh melebihi skor maksimum!" sqref="H86">
      <formula1>G86</formula1>
    </dataValidation>
    <dataValidation type="decimal" errorStyle="stop" operator="lessThanOrEqual" allowBlank="1" showDropDown="1" showInputMessage="0" showErrorMessage="1" error="Skor tidak boleh melebihi skor maksimum!" sqref="K86">
      <formula1>J86</formula1>
    </dataValidation>
    <dataValidation type="decimal" errorStyle="stop" operator="lessThanOrEqual" allowBlank="1" showDropDown="1" showInputMessage="0" showErrorMessage="1" error="Skor tidak boleh melebihi skor maksimum!" sqref="N86">
      <formula1>M86</formula1>
    </dataValidation>
    <dataValidation type="decimal" errorStyle="stop" operator="lessThanOrEqual" allowBlank="1" showDropDown="1" showInputMessage="0" showErrorMessage="1" error="Skor tidak boleh melebihi skor maksimum!" sqref="Q86">
      <formula1>P86</formula1>
    </dataValidation>
    <dataValidation type="decimal" errorStyle="stop" operator="lessThanOrEqual" allowBlank="1" showDropDown="1" showInputMessage="0" showErrorMessage="1" error="Skor tidak boleh melebihi skor maksimum!" sqref="E87">
      <formula1>D87</formula1>
    </dataValidation>
    <dataValidation type="decimal" errorStyle="stop" operator="lessThanOrEqual" allowBlank="1" showDropDown="1" showInputMessage="0" showErrorMessage="1" error="Skor tidak boleh melebihi skor maksimum!" sqref="H87">
      <formula1>G87</formula1>
    </dataValidation>
    <dataValidation type="decimal" errorStyle="stop" operator="lessThanOrEqual" allowBlank="1" showDropDown="1" showInputMessage="0" showErrorMessage="1" error="Skor tidak boleh melebihi skor maksimum!" sqref="K87">
      <formula1>J87</formula1>
    </dataValidation>
    <dataValidation type="decimal" errorStyle="stop" operator="lessThanOrEqual" allowBlank="1" showDropDown="1" showInputMessage="0" showErrorMessage="1" error="Skor tidak boleh melebihi skor maksimum!" sqref="N87">
      <formula1>M87</formula1>
    </dataValidation>
    <dataValidation type="decimal" errorStyle="stop" operator="lessThanOrEqual" allowBlank="1" showDropDown="1" showInputMessage="0" showErrorMessage="1" error="Skor tidak boleh melebihi skor maksimum!" sqref="Q87">
      <formula1>P87</formula1>
    </dataValidation>
    <dataValidation type="decimal" errorStyle="stop" operator="lessThanOrEqual" allowBlank="1" showDropDown="1" showInputMessage="0" showErrorMessage="1" error="Skor tidak boleh melebihi skor maksimum!" sqref="E88">
      <formula1>D88</formula1>
    </dataValidation>
    <dataValidation type="decimal" errorStyle="stop" operator="lessThanOrEqual" allowBlank="1" showDropDown="1" showInputMessage="0" showErrorMessage="1" error="Skor tidak boleh melebihi skor maksimum!" sqref="H88">
      <formula1>G88</formula1>
    </dataValidation>
    <dataValidation type="decimal" errorStyle="stop" operator="lessThanOrEqual" allowBlank="1" showDropDown="1" showInputMessage="0" showErrorMessage="1" error="Skor tidak boleh melebihi skor maksimum!" sqref="K88">
      <formula1>J88</formula1>
    </dataValidation>
    <dataValidation type="decimal" errorStyle="stop" operator="lessThanOrEqual" allowBlank="1" showDropDown="1" showInputMessage="0" showErrorMessage="1" error="Skor tidak boleh melebihi skor maksimum!" sqref="N88">
      <formula1>M88</formula1>
    </dataValidation>
    <dataValidation type="decimal" errorStyle="stop" operator="lessThanOrEqual" allowBlank="1" showDropDown="1" showInputMessage="0" showErrorMessage="1" error="Skor tidak boleh melebihi skor maksimum!" sqref="Q88">
      <formula1>P88</formula1>
    </dataValidation>
    <dataValidation type="decimal" errorStyle="stop" operator="lessThanOrEqual" allowBlank="1" showDropDown="1" showInputMessage="0" showErrorMessage="1" error="Skor tidak boleh melebihi skor maksimum!" sqref="E89">
      <formula1>D89</formula1>
    </dataValidation>
    <dataValidation type="decimal" errorStyle="stop" operator="lessThanOrEqual" allowBlank="1" showDropDown="1" showInputMessage="0" showErrorMessage="1" error="Skor tidak boleh melebihi skor maksimum!" sqref="H89">
      <formula1>G89</formula1>
    </dataValidation>
    <dataValidation type="decimal" errorStyle="stop" operator="lessThanOrEqual" allowBlank="1" showDropDown="1" showInputMessage="0" showErrorMessage="1" error="Skor tidak boleh melebihi skor maksimum!" sqref="K89">
      <formula1>J89</formula1>
    </dataValidation>
    <dataValidation type="decimal" errorStyle="stop" operator="lessThanOrEqual" allowBlank="1" showDropDown="1" showInputMessage="0" showErrorMessage="1" error="Skor tidak boleh melebihi skor maksimum!" sqref="N89">
      <formula1>M89</formula1>
    </dataValidation>
    <dataValidation type="decimal" errorStyle="stop" operator="lessThanOrEqual" allowBlank="1" showDropDown="1" showInputMessage="0" showErrorMessage="1" error="Skor tidak boleh melebihi skor maksimum!" sqref="Q89">
      <formula1>P89</formula1>
    </dataValidation>
    <dataValidation type="decimal" errorStyle="stop" operator="lessThanOrEqual" allowBlank="1" showDropDown="1" showInputMessage="0" showErrorMessage="1" error="Skor tidak boleh melebihi skor maksimum!" sqref="E90">
      <formula1>D90</formula1>
    </dataValidation>
    <dataValidation type="decimal" errorStyle="stop" operator="lessThanOrEqual" allowBlank="1" showDropDown="1" showInputMessage="0" showErrorMessage="1" error="Skor tidak boleh melebihi skor maksimum!" sqref="H90">
      <formula1>G90</formula1>
    </dataValidation>
    <dataValidation type="decimal" errorStyle="stop" operator="lessThanOrEqual" allowBlank="1" showDropDown="1" showInputMessage="0" showErrorMessage="1" error="Skor tidak boleh melebihi skor maksimum!" sqref="K90">
      <formula1>J90</formula1>
    </dataValidation>
    <dataValidation type="decimal" errorStyle="stop" operator="lessThanOrEqual" allowBlank="1" showDropDown="1" showInputMessage="0" showErrorMessage="1" error="Skor tidak boleh melebihi skor maksimum!" sqref="N90">
      <formula1>M90</formula1>
    </dataValidation>
    <dataValidation type="decimal" errorStyle="stop" operator="lessThanOrEqual" allowBlank="1" showDropDown="1" showInputMessage="0" showErrorMessage="1" error="Skor tidak boleh melebihi skor maksimum!" sqref="Q90">
      <formula1>P90</formula1>
    </dataValidation>
    <dataValidation type="decimal" errorStyle="stop" operator="lessThanOrEqual" allowBlank="1" showDropDown="1" showInputMessage="0" showErrorMessage="1" error="Skor tidak boleh melebihi skor maksimum!" sqref="E91">
      <formula1>D91</formula1>
    </dataValidation>
    <dataValidation type="decimal" errorStyle="stop" operator="lessThanOrEqual" allowBlank="1" showDropDown="1" showInputMessage="0" showErrorMessage="1" error="Skor tidak boleh melebihi skor maksimum!" sqref="H91">
      <formula1>G91</formula1>
    </dataValidation>
    <dataValidation type="decimal" errorStyle="stop" operator="lessThanOrEqual" allowBlank="1" showDropDown="1" showInputMessage="0" showErrorMessage="1" error="Skor tidak boleh melebihi skor maksimum!" sqref="K91">
      <formula1>J91</formula1>
    </dataValidation>
    <dataValidation type="decimal" errorStyle="stop" operator="lessThanOrEqual" allowBlank="1" showDropDown="1" showInputMessage="0" showErrorMessage="1" error="Skor tidak boleh melebihi skor maksimum!" sqref="N91">
      <formula1>M91</formula1>
    </dataValidation>
    <dataValidation type="decimal" errorStyle="stop" operator="lessThanOrEqual" allowBlank="1" showDropDown="1" showInputMessage="0" showErrorMessage="1" error="Skor tidak boleh melebihi skor maksimum!" sqref="Q91">
      <formula1>P91</formula1>
    </dataValidation>
    <dataValidation type="decimal" errorStyle="stop" operator="lessThanOrEqual" allowBlank="1" showDropDown="1" showInputMessage="0" showErrorMessage="1" error="Skor tidak boleh melebihi skor maksimum!" sqref="E92">
      <formula1>D92</formula1>
    </dataValidation>
    <dataValidation type="decimal" errorStyle="stop" operator="lessThanOrEqual" allowBlank="1" showDropDown="1" showInputMessage="0" showErrorMessage="1" error="Skor tidak boleh melebihi skor maksimum!" sqref="H92">
      <formula1>G92</formula1>
    </dataValidation>
    <dataValidation type="decimal" errorStyle="stop" operator="lessThanOrEqual" allowBlank="1" showDropDown="1" showInputMessage="0" showErrorMessage="1" error="Skor tidak boleh melebihi skor maksimum!" sqref="K92">
      <formula1>J92</formula1>
    </dataValidation>
    <dataValidation type="decimal" errorStyle="stop" operator="lessThanOrEqual" allowBlank="1" showDropDown="1" showInputMessage="0" showErrorMessage="1" error="Skor tidak boleh melebihi skor maksimum!" sqref="N92">
      <formula1>M92</formula1>
    </dataValidation>
    <dataValidation type="decimal" errorStyle="stop" operator="lessThanOrEqual" allowBlank="1" showDropDown="1" showInputMessage="0" showErrorMessage="1" error="Skor tidak boleh melebihi skor maksimum!" sqref="Q92">
      <formula1>P92</formula1>
    </dataValidation>
    <dataValidation type="decimal" errorStyle="stop" operator="lessThanOrEqual" allowBlank="1" showDropDown="1" showInputMessage="0" showErrorMessage="1" error="Skor tidak boleh melebihi skor maksimum!" sqref="E93">
      <formula1>D93</formula1>
    </dataValidation>
    <dataValidation type="decimal" errorStyle="stop" operator="lessThanOrEqual" allowBlank="1" showDropDown="1" showInputMessage="0" showErrorMessage="1" error="Skor tidak boleh melebihi skor maksimum!" sqref="H93">
      <formula1>G93</formula1>
    </dataValidation>
    <dataValidation type="decimal" errorStyle="stop" operator="lessThanOrEqual" allowBlank="1" showDropDown="1" showInputMessage="0" showErrorMessage="1" error="Skor tidak boleh melebihi skor maksimum!" sqref="K93">
      <formula1>J93</formula1>
    </dataValidation>
    <dataValidation type="decimal" errorStyle="stop" operator="lessThanOrEqual" allowBlank="1" showDropDown="1" showInputMessage="0" showErrorMessage="1" error="Skor tidak boleh melebihi skor maksimum!" sqref="N93">
      <formula1>M93</formula1>
    </dataValidation>
    <dataValidation type="decimal" errorStyle="stop" operator="lessThanOrEqual" allowBlank="1" showDropDown="1" showInputMessage="0" showErrorMessage="1" error="Skor tidak boleh melebihi skor maksimum!" sqref="Q93">
      <formula1>P93</formula1>
    </dataValidation>
    <dataValidation type="decimal" errorStyle="stop" operator="lessThanOrEqual" allowBlank="1" showDropDown="1" showInputMessage="0" showErrorMessage="1" error="Skor tidak boleh melebihi skor maksimum!" sqref="E94">
      <formula1>D94</formula1>
    </dataValidation>
    <dataValidation type="decimal" errorStyle="stop" operator="lessThanOrEqual" allowBlank="1" showDropDown="1" showInputMessage="0" showErrorMessage="1" error="Skor tidak boleh melebihi skor maksimum!" sqref="H94">
      <formula1>G94</formula1>
    </dataValidation>
    <dataValidation type="decimal" errorStyle="stop" operator="lessThanOrEqual" allowBlank="1" showDropDown="1" showInputMessage="0" showErrorMessage="1" error="Skor tidak boleh melebihi skor maksimum!" sqref="K94">
      <formula1>J94</formula1>
    </dataValidation>
    <dataValidation type="decimal" errorStyle="stop" operator="lessThanOrEqual" allowBlank="1" showDropDown="1" showInputMessage="0" showErrorMessage="1" error="Skor tidak boleh melebihi skor maksimum!" sqref="N94">
      <formula1>M94</formula1>
    </dataValidation>
    <dataValidation type="decimal" errorStyle="stop" operator="lessThanOrEqual" allowBlank="1" showDropDown="1" showInputMessage="0" showErrorMessage="1" error="Skor tidak boleh melebihi skor maksimum!" sqref="Q94">
      <formula1>P94</formula1>
    </dataValidation>
    <dataValidation type="decimal" errorStyle="stop" operator="lessThanOrEqual" allowBlank="1" showDropDown="1" showInputMessage="0" showErrorMessage="1" error="Skor tidak boleh melebihi skor maksimum!" sqref="E95">
      <formula1>D95</formula1>
    </dataValidation>
    <dataValidation type="decimal" errorStyle="stop" operator="lessThanOrEqual" allowBlank="1" showDropDown="1" showInputMessage="0" showErrorMessage="1" error="Skor tidak boleh melebihi skor maksimum!" sqref="H95">
      <formula1>G95</formula1>
    </dataValidation>
    <dataValidation type="decimal" errorStyle="stop" operator="lessThanOrEqual" allowBlank="1" showDropDown="1" showInputMessage="0" showErrorMessage="1" error="Skor tidak boleh melebihi skor maksimum!" sqref="K95">
      <formula1>J95</formula1>
    </dataValidation>
    <dataValidation type="decimal" errorStyle="stop" operator="lessThanOrEqual" allowBlank="1" showDropDown="1" showInputMessage="0" showErrorMessage="1" error="Skor tidak boleh melebihi skor maksimum!" sqref="N95">
      <formula1>M95</formula1>
    </dataValidation>
    <dataValidation type="decimal" errorStyle="stop" operator="lessThanOrEqual" allowBlank="1" showDropDown="1" showInputMessage="0" showErrorMessage="1" error="Skor tidak boleh melebihi skor maksimum!" sqref="Q95">
      <formula1>P95</formula1>
    </dataValidation>
    <dataValidation type="decimal" errorStyle="stop" operator="lessThanOrEqual" allowBlank="1" showDropDown="1" showInputMessage="0" showErrorMessage="1" error="Skor tidak boleh melebihi skor maksimum!" sqref="E96">
      <formula1>D96</formula1>
    </dataValidation>
    <dataValidation type="decimal" errorStyle="stop" operator="lessThanOrEqual" allowBlank="1" showDropDown="1" showInputMessage="0" showErrorMessage="1" error="Skor tidak boleh melebihi skor maksimum!" sqref="H96">
      <formula1>G96</formula1>
    </dataValidation>
    <dataValidation type="decimal" errorStyle="stop" operator="lessThanOrEqual" allowBlank="1" showDropDown="1" showInputMessage="0" showErrorMessage="1" error="Skor tidak boleh melebihi skor maksimum!" sqref="K96">
      <formula1>J96</formula1>
    </dataValidation>
    <dataValidation type="decimal" errorStyle="stop" operator="lessThanOrEqual" allowBlank="1" showDropDown="1" showInputMessage="0" showErrorMessage="1" error="Skor tidak boleh melebihi skor maksimum!" sqref="N96">
      <formula1>M96</formula1>
    </dataValidation>
    <dataValidation type="decimal" errorStyle="stop" operator="lessThanOrEqual" allowBlank="1" showDropDown="1" showInputMessage="0" showErrorMessage="1" error="Skor tidak boleh melebihi skor maksimum!" sqref="Q96">
      <formula1>P96</formula1>
    </dataValidation>
    <dataValidation type="decimal" errorStyle="stop" operator="lessThanOrEqual" allowBlank="1" showDropDown="1" showInputMessage="0" showErrorMessage="1" error="Skor tidak boleh melebihi skor maksimum!" sqref="E97">
      <formula1>D97</formula1>
    </dataValidation>
    <dataValidation type="decimal" errorStyle="stop" operator="lessThanOrEqual" allowBlank="1" showDropDown="1" showInputMessage="0" showErrorMessage="1" error="Skor tidak boleh melebihi skor maksimum!" sqref="H97">
      <formula1>G97</formula1>
    </dataValidation>
    <dataValidation type="decimal" errorStyle="stop" operator="lessThanOrEqual" allowBlank="1" showDropDown="1" showInputMessage="0" showErrorMessage="1" error="Skor tidak boleh melebihi skor maksimum!" sqref="K97">
      <formula1>J97</formula1>
    </dataValidation>
    <dataValidation type="decimal" errorStyle="stop" operator="lessThanOrEqual" allowBlank="1" showDropDown="1" showInputMessage="0" showErrorMessage="1" error="Skor tidak boleh melebihi skor maksimum!" sqref="N97">
      <formula1>M97</formula1>
    </dataValidation>
    <dataValidation type="decimal" errorStyle="stop" operator="lessThanOrEqual" allowBlank="1" showDropDown="1" showInputMessage="0" showErrorMessage="1" error="Skor tidak boleh melebihi skor maksimum!" sqref="Q97">
      <formula1>P97</formula1>
    </dataValidation>
    <dataValidation type="decimal" errorStyle="stop" operator="lessThanOrEqual" allowBlank="1" showDropDown="1" showInputMessage="0" showErrorMessage="1" error="Skor tidak boleh melebihi skor maksimum!" sqref="E98">
      <formula1>D98</formula1>
    </dataValidation>
    <dataValidation type="decimal" errorStyle="stop" operator="lessThanOrEqual" allowBlank="1" showDropDown="1" showInputMessage="0" showErrorMessage="1" error="Skor tidak boleh melebihi skor maksimum!" sqref="H98">
      <formula1>G98</formula1>
    </dataValidation>
    <dataValidation type="decimal" errorStyle="stop" operator="lessThanOrEqual" allowBlank="1" showDropDown="1" showInputMessage="0" showErrorMessage="1" error="Skor tidak boleh melebihi skor maksimum!" sqref="K98">
      <formula1>J98</formula1>
    </dataValidation>
    <dataValidation type="decimal" errorStyle="stop" operator="lessThanOrEqual" allowBlank="1" showDropDown="1" showInputMessage="0" showErrorMessage="1" error="Skor tidak boleh melebihi skor maksimum!" sqref="N98">
      <formula1>M98</formula1>
    </dataValidation>
    <dataValidation type="decimal" errorStyle="stop" operator="lessThanOrEqual" allowBlank="1" showDropDown="1" showInputMessage="0" showErrorMessage="1" error="Skor tidak boleh melebihi skor maksimum!" sqref="Q98">
      <formula1>P98</formula1>
    </dataValidation>
    <dataValidation type="decimal" errorStyle="stop" operator="lessThanOrEqual" allowBlank="1" showDropDown="1" showInputMessage="0" showErrorMessage="1" error="Skor tidak boleh melebihi skor maksimum!" sqref="E99">
      <formula1>D99</formula1>
    </dataValidation>
    <dataValidation type="decimal" errorStyle="stop" operator="lessThanOrEqual" allowBlank="1" showDropDown="1" showInputMessage="0" showErrorMessage="1" error="Skor tidak boleh melebihi skor maksimum!" sqref="H99">
      <formula1>G99</formula1>
    </dataValidation>
    <dataValidation type="decimal" errorStyle="stop" operator="lessThanOrEqual" allowBlank="1" showDropDown="1" showInputMessage="0" showErrorMessage="1" error="Skor tidak boleh melebihi skor maksimum!" sqref="K99">
      <formula1>J99</formula1>
    </dataValidation>
    <dataValidation type="decimal" errorStyle="stop" operator="lessThanOrEqual" allowBlank="1" showDropDown="1" showInputMessage="0" showErrorMessage="1" error="Skor tidak boleh melebihi skor maksimum!" sqref="N99">
      <formula1>M99</formula1>
    </dataValidation>
    <dataValidation type="decimal" errorStyle="stop" operator="lessThanOrEqual" allowBlank="1" showDropDown="1" showInputMessage="0" showErrorMessage="1" error="Skor tidak boleh melebihi skor maksimum!" sqref="Q99">
      <formula1>P99</formula1>
    </dataValidation>
    <dataValidation type="decimal" errorStyle="stop" operator="lessThanOrEqual" allowBlank="1" showDropDown="1" showInputMessage="0" showErrorMessage="1" error="Skor tidak boleh melebihi skor maksimum!" sqref="E100">
      <formula1>D100</formula1>
    </dataValidation>
    <dataValidation type="decimal" errorStyle="stop" operator="lessThanOrEqual" allowBlank="1" showDropDown="1" showInputMessage="0" showErrorMessage="1" error="Skor tidak boleh melebihi skor maksimum!" sqref="H100">
      <formula1>G100</formula1>
    </dataValidation>
    <dataValidation type="decimal" errorStyle="stop" operator="lessThanOrEqual" allowBlank="1" showDropDown="1" showInputMessage="0" showErrorMessage="1" error="Skor tidak boleh melebihi skor maksimum!" sqref="K100">
      <formula1>J100</formula1>
    </dataValidation>
    <dataValidation type="decimal" errorStyle="stop" operator="lessThanOrEqual" allowBlank="1" showDropDown="1" showInputMessage="0" showErrorMessage="1" error="Skor tidak boleh melebihi skor maksimum!" sqref="N100">
      <formula1>M100</formula1>
    </dataValidation>
    <dataValidation type="decimal" errorStyle="stop" operator="lessThanOrEqual" allowBlank="1" showDropDown="1" showInputMessage="0" showErrorMessage="1" error="Skor tidak boleh melebihi skor maksimum!" sqref="Q100">
      <formula1>P100</formula1>
    </dataValidation>
    <dataValidation type="decimal" errorStyle="stop" operator="lessThanOrEqual" allowBlank="1" showDropDown="1" showInputMessage="0" showErrorMessage="1" error="Skor tidak boleh melebihi skor maksimum!" sqref="E101">
      <formula1>D101</formula1>
    </dataValidation>
    <dataValidation type="decimal" errorStyle="stop" operator="lessThanOrEqual" allowBlank="1" showDropDown="1" showInputMessage="0" showErrorMessage="1" error="Skor tidak boleh melebihi skor maksimum!" sqref="H101">
      <formula1>G101</formula1>
    </dataValidation>
    <dataValidation type="decimal" errorStyle="stop" operator="lessThanOrEqual" allowBlank="1" showDropDown="1" showInputMessage="0" showErrorMessage="1" error="Skor tidak boleh melebihi skor maksimum!" sqref="K101">
      <formula1>J101</formula1>
    </dataValidation>
    <dataValidation type="decimal" errorStyle="stop" operator="lessThanOrEqual" allowBlank="1" showDropDown="1" showInputMessage="0" showErrorMessage="1" error="Skor tidak boleh melebihi skor maksimum!" sqref="N101">
      <formula1>M101</formula1>
    </dataValidation>
    <dataValidation type="decimal" errorStyle="stop" operator="lessThanOrEqual" allowBlank="1" showDropDown="1" showInputMessage="0" showErrorMessage="1" error="Skor tidak boleh melebihi skor maksimum!" sqref="Q101">
      <formula1>P101</formula1>
    </dataValidation>
    <dataValidation type="decimal" errorStyle="stop" operator="lessThanOrEqual" allowBlank="1" showDropDown="1" showInputMessage="0" showErrorMessage="1" error="Skor tidak boleh melebihi skor maksimum!" sqref="E102">
      <formula1>D102</formula1>
    </dataValidation>
    <dataValidation type="decimal" errorStyle="stop" operator="lessThanOrEqual" allowBlank="1" showDropDown="1" showInputMessage="0" showErrorMessage="1" error="Skor tidak boleh melebihi skor maksimum!" sqref="H102">
      <formula1>G102</formula1>
    </dataValidation>
    <dataValidation type="decimal" errorStyle="stop" operator="lessThanOrEqual" allowBlank="1" showDropDown="1" showInputMessage="0" showErrorMessage="1" error="Skor tidak boleh melebihi skor maksimum!" sqref="K102">
      <formula1>J102</formula1>
    </dataValidation>
    <dataValidation type="decimal" errorStyle="stop" operator="lessThanOrEqual" allowBlank="1" showDropDown="1" showInputMessage="0" showErrorMessage="1" error="Skor tidak boleh melebihi skor maksimum!" sqref="N102">
      <formula1>M102</formula1>
    </dataValidation>
    <dataValidation type="decimal" errorStyle="stop" operator="lessThanOrEqual" allowBlank="1" showDropDown="1" showInputMessage="0" showErrorMessage="1" error="Skor tidak boleh melebihi skor maksimum!" sqref="Q102">
      <formula1>P102</formula1>
    </dataValidation>
    <dataValidation type="decimal" errorStyle="stop" operator="lessThanOrEqual" allowBlank="1" showDropDown="1" showInputMessage="0" showErrorMessage="1" error="Skor tidak boleh melebihi skor maksimum!" sqref="E103">
      <formula1>D103</formula1>
    </dataValidation>
    <dataValidation type="decimal" errorStyle="stop" operator="lessThanOrEqual" allowBlank="1" showDropDown="1" showInputMessage="0" showErrorMessage="1" error="Skor tidak boleh melebihi skor maksimum!" sqref="H103">
      <formula1>G103</formula1>
    </dataValidation>
    <dataValidation type="decimal" errorStyle="stop" operator="lessThanOrEqual" allowBlank="1" showDropDown="1" showInputMessage="0" showErrorMessage="1" error="Skor tidak boleh melebihi skor maksimum!" sqref="K103">
      <formula1>J103</formula1>
    </dataValidation>
    <dataValidation type="decimal" errorStyle="stop" operator="lessThanOrEqual" allowBlank="1" showDropDown="1" showInputMessage="0" showErrorMessage="1" error="Skor tidak boleh melebihi skor maksimum!" sqref="N103">
      <formula1>M103</formula1>
    </dataValidation>
    <dataValidation type="decimal" errorStyle="stop" operator="lessThanOrEqual" allowBlank="1" showDropDown="1" showInputMessage="0" showErrorMessage="1" error="Skor tidak boleh melebihi skor maksimum!" sqref="Q103">
      <formula1>P103</formula1>
    </dataValidation>
    <dataValidation type="decimal" errorStyle="stop" operator="lessThanOrEqual" allowBlank="1" showDropDown="1" showInputMessage="0" showErrorMessage="1" error="Skor tidak boleh melebihi skor maksimum!" sqref="E104">
      <formula1>D104</formula1>
    </dataValidation>
    <dataValidation type="decimal" errorStyle="stop" operator="lessThanOrEqual" allowBlank="1" showDropDown="1" showInputMessage="0" showErrorMessage="1" error="Skor tidak boleh melebihi skor maksimum!" sqref="H104">
      <formula1>G104</formula1>
    </dataValidation>
    <dataValidation type="decimal" errorStyle="stop" operator="lessThanOrEqual" allowBlank="1" showDropDown="1" showInputMessage="0" showErrorMessage="1" error="Skor tidak boleh melebihi skor maksimum!" sqref="K104">
      <formula1>J104</formula1>
    </dataValidation>
    <dataValidation type="decimal" errorStyle="stop" operator="lessThanOrEqual" allowBlank="1" showDropDown="1" showInputMessage="0" showErrorMessage="1" error="Skor tidak boleh melebihi skor maksimum!" sqref="N104">
      <formula1>M104</formula1>
    </dataValidation>
    <dataValidation type="decimal" errorStyle="stop" operator="lessThanOrEqual" allowBlank="1" showDropDown="1" showInputMessage="0" showErrorMessage="1" error="Skor tidak boleh melebihi skor maksimum!" sqref="Q104">
      <formula1>P104</formula1>
    </dataValidation>
    <dataValidation type="decimal" errorStyle="stop" operator="lessThanOrEqual" allowBlank="1" showDropDown="1" showInputMessage="0" showErrorMessage="1" error="Skor tidak boleh melebihi skor maksimum!" sqref="E105">
      <formula1>D105</formula1>
    </dataValidation>
    <dataValidation type="decimal" errorStyle="stop" operator="lessThanOrEqual" allowBlank="1" showDropDown="1" showInputMessage="0" showErrorMessage="1" error="Skor tidak boleh melebihi skor maksimum!" sqref="H105">
      <formula1>G105</formula1>
    </dataValidation>
    <dataValidation type="decimal" errorStyle="stop" operator="lessThanOrEqual" allowBlank="1" showDropDown="1" showInputMessage="0" showErrorMessage="1" error="Skor tidak boleh melebihi skor maksimum!" sqref="K105">
      <formula1>J105</formula1>
    </dataValidation>
    <dataValidation type="decimal" errorStyle="stop" operator="lessThanOrEqual" allowBlank="1" showDropDown="1" showInputMessage="0" showErrorMessage="1" error="Skor tidak boleh melebihi skor maksimum!" sqref="N105">
      <formula1>M105</formula1>
    </dataValidation>
    <dataValidation type="decimal" errorStyle="stop" operator="lessThanOrEqual" allowBlank="1" showDropDown="1" showInputMessage="0" showErrorMessage="1" error="Skor tidak boleh melebihi skor maksimum!" sqref="Q105">
      <formula1>P105</formula1>
    </dataValidation>
    <dataValidation type="decimal" errorStyle="stop" operator="lessThanOrEqual" allowBlank="1" showDropDown="1" showInputMessage="0" showErrorMessage="1" error="Skor tidak boleh melebihi skor maksimum!" sqref="E106">
      <formula1>D106</formula1>
    </dataValidation>
    <dataValidation type="decimal" errorStyle="stop" operator="lessThanOrEqual" allowBlank="1" showDropDown="1" showInputMessage="0" showErrorMessage="1" error="Skor tidak boleh melebihi skor maksimum!" sqref="H106">
      <formula1>G106</formula1>
    </dataValidation>
    <dataValidation type="decimal" errorStyle="stop" operator="lessThanOrEqual" allowBlank="1" showDropDown="1" showInputMessage="0" showErrorMessage="1" error="Skor tidak boleh melebihi skor maksimum!" sqref="K106">
      <formula1>J106</formula1>
    </dataValidation>
    <dataValidation type="decimal" errorStyle="stop" operator="lessThanOrEqual" allowBlank="1" showDropDown="1" showInputMessage="0" showErrorMessage="1" error="Skor tidak boleh melebihi skor maksimum!" sqref="N106">
      <formula1>M106</formula1>
    </dataValidation>
    <dataValidation type="decimal" errorStyle="stop" operator="lessThanOrEqual" allowBlank="1" showDropDown="1" showInputMessage="0" showErrorMessage="1" error="Skor tidak boleh melebihi skor maksimum!" sqref="Q106">
      <formula1>P106</formula1>
    </dataValidation>
    <dataValidation type="decimal" errorStyle="stop" operator="lessThanOrEqual" allowBlank="1" showDropDown="1" showInputMessage="0" showErrorMessage="1" error="Skor tidak boleh melebihi skor maksimum!" sqref="E107">
      <formula1>D107</formula1>
    </dataValidation>
    <dataValidation type="decimal" errorStyle="stop" operator="lessThanOrEqual" allowBlank="1" showDropDown="1" showInputMessage="0" showErrorMessage="1" error="Skor tidak boleh melebihi skor maksimum!" sqref="H107">
      <formula1>G107</formula1>
    </dataValidation>
    <dataValidation type="decimal" errorStyle="stop" operator="lessThanOrEqual" allowBlank="1" showDropDown="1" showInputMessage="0" showErrorMessage="1" error="Skor tidak boleh melebihi skor maksimum!" sqref="K107">
      <formula1>J107</formula1>
    </dataValidation>
    <dataValidation type="decimal" errorStyle="stop" operator="lessThanOrEqual" allowBlank="1" showDropDown="1" showInputMessage="0" showErrorMessage="1" error="Skor tidak boleh melebihi skor maksimum!" sqref="N107">
      <formula1>M107</formula1>
    </dataValidation>
    <dataValidation type="decimal" errorStyle="stop" operator="lessThanOrEqual" allowBlank="1" showDropDown="1" showInputMessage="0" showErrorMessage="1" error="Skor tidak boleh melebihi skor maksimum!" sqref="Q107">
      <formula1>P107</formula1>
    </dataValidation>
    <dataValidation type="decimal" errorStyle="stop" operator="lessThanOrEqual" allowBlank="1" showDropDown="1" showInputMessage="0" showErrorMessage="1" error="Skor tidak boleh melebihi skor maksimum!" sqref="E108">
      <formula1>D108</formula1>
    </dataValidation>
    <dataValidation type="decimal" errorStyle="stop" operator="lessThanOrEqual" allowBlank="1" showDropDown="1" showInputMessage="0" showErrorMessage="1" error="Skor tidak boleh melebihi skor maksimum!" sqref="H108">
      <formula1>G108</formula1>
    </dataValidation>
    <dataValidation type="decimal" errorStyle="stop" operator="lessThanOrEqual" allowBlank="1" showDropDown="1" showInputMessage="0" showErrorMessage="1" error="Skor tidak boleh melebihi skor maksimum!" sqref="K108">
      <formula1>J108</formula1>
    </dataValidation>
    <dataValidation type="decimal" errorStyle="stop" operator="lessThanOrEqual" allowBlank="1" showDropDown="1" showInputMessage="0" showErrorMessage="1" error="Skor tidak boleh melebihi skor maksimum!" sqref="N108">
      <formula1>M108</formula1>
    </dataValidation>
    <dataValidation type="decimal" errorStyle="stop" operator="lessThanOrEqual" allowBlank="1" showDropDown="1" showInputMessage="0" showErrorMessage="1" error="Skor tidak boleh melebihi skor maksimum!" sqref="Q108">
      <formula1>P108</formula1>
    </dataValidation>
    <dataValidation type="decimal" errorStyle="stop" operator="lessThanOrEqual" allowBlank="1" showDropDown="1" showInputMessage="0" showErrorMessage="1" error="Skor tidak boleh melebihi skor maksimum!" sqref="E109">
      <formula1>D109</formula1>
    </dataValidation>
    <dataValidation type="decimal" errorStyle="stop" operator="lessThanOrEqual" allowBlank="1" showDropDown="1" showInputMessage="0" showErrorMessage="1" error="Skor tidak boleh melebihi skor maksimum!" sqref="H109">
      <formula1>G109</formula1>
    </dataValidation>
    <dataValidation type="decimal" errorStyle="stop" operator="lessThanOrEqual" allowBlank="1" showDropDown="1" showInputMessage="0" showErrorMessage="1" error="Skor tidak boleh melebihi skor maksimum!" sqref="K109">
      <formula1>J109</formula1>
    </dataValidation>
    <dataValidation type="decimal" errorStyle="stop" operator="lessThanOrEqual" allowBlank="1" showDropDown="1" showInputMessage="0" showErrorMessage="1" error="Skor tidak boleh melebihi skor maksimum!" sqref="N109">
      <formula1>M109</formula1>
    </dataValidation>
    <dataValidation type="decimal" errorStyle="stop" operator="lessThanOrEqual" allowBlank="1" showDropDown="1" showInputMessage="0" showErrorMessage="1" error="Skor tidak boleh melebihi skor maksimum!" sqref="Q109">
      <formula1>P109</formula1>
    </dataValidation>
    <dataValidation type="decimal" errorStyle="stop" operator="lessThanOrEqual" allowBlank="1" showDropDown="1" showInputMessage="0" showErrorMessage="1" error="Skor tidak boleh melebihi skor maksimum!" sqref="E110">
      <formula1>D110</formula1>
    </dataValidation>
    <dataValidation type="decimal" errorStyle="stop" operator="lessThanOrEqual" allowBlank="1" showDropDown="1" showInputMessage="0" showErrorMessage="1" error="Skor tidak boleh melebihi skor maksimum!" sqref="H110">
      <formula1>G110</formula1>
    </dataValidation>
    <dataValidation type="decimal" errorStyle="stop" operator="lessThanOrEqual" allowBlank="1" showDropDown="1" showInputMessage="0" showErrorMessage="1" error="Skor tidak boleh melebihi skor maksimum!" sqref="K110">
      <formula1>J110</formula1>
    </dataValidation>
    <dataValidation type="decimal" errorStyle="stop" operator="lessThanOrEqual" allowBlank="1" showDropDown="1" showInputMessage="0" showErrorMessage="1" error="Skor tidak boleh melebihi skor maksimum!" sqref="N110">
      <formula1>M110</formula1>
    </dataValidation>
    <dataValidation type="decimal" errorStyle="stop" operator="lessThanOrEqual" allowBlank="1" showDropDown="1" showInputMessage="0" showErrorMessage="1" error="Skor tidak boleh melebihi skor maksimum!" sqref="Q110">
      <formula1>P110</formula1>
    </dataValidation>
    <dataValidation type="decimal" errorStyle="stop" operator="lessThanOrEqual" allowBlank="1" showDropDown="1" showInputMessage="0" showErrorMessage="1" error="Skor tidak boleh melebihi skor maksimum!" sqref="E111">
      <formula1>D111</formula1>
    </dataValidation>
    <dataValidation type="decimal" errorStyle="stop" operator="lessThanOrEqual" allowBlank="1" showDropDown="1" showInputMessage="0" showErrorMessage="1" error="Skor tidak boleh melebihi skor maksimum!" sqref="H111">
      <formula1>G111</formula1>
    </dataValidation>
    <dataValidation type="decimal" errorStyle="stop" operator="lessThanOrEqual" allowBlank="1" showDropDown="1" showInputMessage="0" showErrorMessage="1" error="Skor tidak boleh melebihi skor maksimum!" sqref="K111">
      <formula1>J111</formula1>
    </dataValidation>
    <dataValidation type="decimal" errorStyle="stop" operator="lessThanOrEqual" allowBlank="1" showDropDown="1" showInputMessage="0" showErrorMessage="1" error="Skor tidak boleh melebihi skor maksimum!" sqref="N111">
      <formula1>M111</formula1>
    </dataValidation>
    <dataValidation type="decimal" errorStyle="stop" operator="lessThanOrEqual" allowBlank="1" showDropDown="1" showInputMessage="0" showErrorMessage="1" error="Skor tidak boleh melebihi skor maksimum!" sqref="Q111">
      <formula1>P111</formula1>
    </dataValidation>
    <dataValidation type="decimal" errorStyle="stop" operator="lessThanOrEqual" allowBlank="1" showDropDown="1" showInputMessage="0" showErrorMessage="1" error="Skor tidak boleh melebihi skor maksimum!" sqref="E112">
      <formula1>D112</formula1>
    </dataValidation>
    <dataValidation type="decimal" errorStyle="stop" operator="lessThanOrEqual" allowBlank="1" showDropDown="1" showInputMessage="0" showErrorMessage="1" error="Skor tidak boleh melebihi skor maksimum!" sqref="H112">
      <formula1>G112</formula1>
    </dataValidation>
    <dataValidation type="decimal" errorStyle="stop" operator="lessThanOrEqual" allowBlank="1" showDropDown="1" showInputMessage="0" showErrorMessage="1" error="Skor tidak boleh melebihi skor maksimum!" sqref="K112">
      <formula1>J112</formula1>
    </dataValidation>
    <dataValidation type="decimal" errorStyle="stop" operator="lessThanOrEqual" allowBlank="1" showDropDown="1" showInputMessage="0" showErrorMessage="1" error="Skor tidak boleh melebihi skor maksimum!" sqref="N112">
      <formula1>M112</formula1>
    </dataValidation>
    <dataValidation type="decimal" errorStyle="stop" operator="lessThanOrEqual" allowBlank="1" showDropDown="1" showInputMessage="0" showErrorMessage="1" error="Skor tidak boleh melebihi skor maksimum!" sqref="Q112">
      <formula1>P112</formula1>
    </dataValidation>
    <dataValidation type="decimal" errorStyle="stop" operator="lessThanOrEqual" allowBlank="1" showDropDown="1" showInputMessage="0" showErrorMessage="1" error="Skor tidak boleh melebihi skor maksimum!" sqref="E113">
      <formula1>D113</formula1>
    </dataValidation>
    <dataValidation type="decimal" errorStyle="stop" operator="lessThanOrEqual" allowBlank="1" showDropDown="1" showInputMessage="0" showErrorMessage="1" error="Skor tidak boleh melebihi skor maksimum!" sqref="H113">
      <formula1>G113</formula1>
    </dataValidation>
    <dataValidation type="decimal" errorStyle="stop" operator="lessThanOrEqual" allowBlank="1" showDropDown="1" showInputMessage="0" showErrorMessage="1" error="Skor tidak boleh melebihi skor maksimum!" sqref="K113">
      <formula1>J113</formula1>
    </dataValidation>
    <dataValidation type="decimal" errorStyle="stop" operator="lessThanOrEqual" allowBlank="1" showDropDown="1" showInputMessage="0" showErrorMessage="1" error="Skor tidak boleh melebihi skor maksimum!" sqref="N113">
      <formula1>M113</formula1>
    </dataValidation>
    <dataValidation type="decimal" errorStyle="stop" operator="lessThanOrEqual" allowBlank="1" showDropDown="1" showInputMessage="0" showErrorMessage="1" error="Skor tidak boleh melebihi skor maksimum!" sqref="Q113">
      <formula1>P113</formula1>
    </dataValidation>
    <dataValidation type="decimal" errorStyle="stop" operator="lessThanOrEqual" allowBlank="1" showDropDown="1" showInputMessage="0" showErrorMessage="1" error="Skor tidak boleh melebihi skor maksimum!" sqref="E114">
      <formula1>D114</formula1>
    </dataValidation>
    <dataValidation type="decimal" errorStyle="stop" operator="lessThanOrEqual" allowBlank="1" showDropDown="1" showInputMessage="0" showErrorMessage="1" error="Skor tidak boleh melebihi skor maksimum!" sqref="H114">
      <formula1>G114</formula1>
    </dataValidation>
    <dataValidation type="decimal" errorStyle="stop" operator="lessThanOrEqual" allowBlank="1" showDropDown="1" showInputMessage="0" showErrorMessage="1" error="Skor tidak boleh melebihi skor maksimum!" sqref="K114">
      <formula1>J114</formula1>
    </dataValidation>
    <dataValidation type="decimal" errorStyle="stop" operator="lessThanOrEqual" allowBlank="1" showDropDown="1" showInputMessage="0" showErrorMessage="1" error="Skor tidak boleh melebihi skor maksimum!" sqref="N114">
      <formula1>M114</formula1>
    </dataValidation>
    <dataValidation type="decimal" errorStyle="stop" operator="lessThanOrEqual" allowBlank="1" showDropDown="1" showInputMessage="0" showErrorMessage="1" error="Skor tidak boleh melebihi skor maksimum!" sqref="Q114">
      <formula1>P114</formula1>
    </dataValidation>
    <dataValidation type="decimal" errorStyle="stop" operator="lessThanOrEqual" allowBlank="1" showDropDown="1" showInputMessage="0" showErrorMessage="1" error="Skor tidak boleh melebihi skor maksimum!" sqref="E115">
      <formula1>D115</formula1>
    </dataValidation>
    <dataValidation type="decimal" errorStyle="stop" operator="lessThanOrEqual" allowBlank="1" showDropDown="1" showInputMessage="0" showErrorMessage="1" error="Skor tidak boleh melebihi skor maksimum!" sqref="H115">
      <formula1>G115</formula1>
    </dataValidation>
    <dataValidation type="decimal" errorStyle="stop" operator="lessThanOrEqual" allowBlank="1" showDropDown="1" showInputMessage="0" showErrorMessage="1" error="Skor tidak boleh melebihi skor maksimum!" sqref="K115">
      <formula1>J115</formula1>
    </dataValidation>
    <dataValidation type="decimal" errorStyle="stop" operator="lessThanOrEqual" allowBlank="1" showDropDown="1" showInputMessage="0" showErrorMessage="1" error="Skor tidak boleh melebihi skor maksimum!" sqref="N115">
      <formula1>M115</formula1>
    </dataValidation>
    <dataValidation type="decimal" errorStyle="stop" operator="lessThanOrEqual" allowBlank="1" showDropDown="1" showInputMessage="0" showErrorMessage="1" error="Skor tidak boleh melebihi skor maksimum!" sqref="Q115">
      <formula1>P115</formula1>
    </dataValidation>
    <dataValidation type="decimal" errorStyle="stop" operator="lessThanOrEqual" allowBlank="1" showDropDown="1" showInputMessage="0" showErrorMessage="1" error="Skor tidak boleh melebihi skor maksimum!" sqref="E116">
      <formula1>D116</formula1>
    </dataValidation>
    <dataValidation type="decimal" errorStyle="stop" operator="lessThanOrEqual" allowBlank="1" showDropDown="1" showInputMessage="0" showErrorMessage="1" error="Skor tidak boleh melebihi skor maksimum!" sqref="H116">
      <formula1>G116</formula1>
    </dataValidation>
    <dataValidation type="decimal" errorStyle="stop" operator="lessThanOrEqual" allowBlank="1" showDropDown="1" showInputMessage="0" showErrorMessage="1" error="Skor tidak boleh melebihi skor maksimum!" sqref="K116">
      <formula1>J116</formula1>
    </dataValidation>
    <dataValidation type="decimal" errorStyle="stop" operator="lessThanOrEqual" allowBlank="1" showDropDown="1" showInputMessage="0" showErrorMessage="1" error="Skor tidak boleh melebihi skor maksimum!" sqref="N116">
      <formula1>M116</formula1>
    </dataValidation>
    <dataValidation type="decimal" errorStyle="stop" operator="lessThanOrEqual" allowBlank="1" showDropDown="1" showInputMessage="0" showErrorMessage="1" error="Skor tidak boleh melebihi skor maksimum!" sqref="Q116">
      <formula1>P116</formula1>
    </dataValidation>
    <dataValidation type="decimal" errorStyle="stop" operator="lessThanOrEqual" allowBlank="1" showDropDown="1" showInputMessage="0" showErrorMessage="1" error="Skor tidak boleh melebihi skor maksimum!" sqref="E117">
      <formula1>D117</formula1>
    </dataValidation>
    <dataValidation type="decimal" errorStyle="stop" operator="lessThanOrEqual" allowBlank="1" showDropDown="1" showInputMessage="0" showErrorMessage="1" error="Skor tidak boleh melebihi skor maksimum!" sqref="H117">
      <formula1>G117</formula1>
    </dataValidation>
    <dataValidation type="decimal" errorStyle="stop" operator="lessThanOrEqual" allowBlank="1" showDropDown="1" showInputMessage="0" showErrorMessage="1" error="Skor tidak boleh melebihi skor maksimum!" sqref="K117">
      <formula1>J117</formula1>
    </dataValidation>
    <dataValidation type="decimal" errorStyle="stop" operator="lessThanOrEqual" allowBlank="1" showDropDown="1" showInputMessage="0" showErrorMessage="1" error="Skor tidak boleh melebihi skor maksimum!" sqref="N117">
      <formula1>M117</formula1>
    </dataValidation>
    <dataValidation type="decimal" errorStyle="stop" operator="lessThanOrEqual" allowBlank="1" showDropDown="1" showInputMessage="0" showErrorMessage="1" error="Skor tidak boleh melebihi skor maksimum!" sqref="Q117">
      <formula1>P117</formula1>
    </dataValidation>
    <dataValidation type="decimal" errorStyle="stop" operator="lessThanOrEqual" allowBlank="1" showDropDown="1" showInputMessage="0" showErrorMessage="1" error="Skor tidak boleh melebihi skor maksimum!" sqref="E118">
      <formula1>D118</formula1>
    </dataValidation>
    <dataValidation type="decimal" errorStyle="stop" operator="lessThanOrEqual" allowBlank="1" showDropDown="1" showInputMessage="0" showErrorMessage="1" error="Skor tidak boleh melebihi skor maksimum!" sqref="H118">
      <formula1>G118</formula1>
    </dataValidation>
    <dataValidation type="decimal" errorStyle="stop" operator="lessThanOrEqual" allowBlank="1" showDropDown="1" showInputMessage="0" showErrorMessage="1" error="Skor tidak boleh melebihi skor maksimum!" sqref="K118">
      <formula1>J118</formula1>
    </dataValidation>
    <dataValidation type="decimal" errorStyle="stop" operator="lessThanOrEqual" allowBlank="1" showDropDown="1" showInputMessage="0" showErrorMessage="1" error="Skor tidak boleh melebihi skor maksimum!" sqref="N118">
      <formula1>M118</formula1>
    </dataValidation>
    <dataValidation type="decimal" errorStyle="stop" operator="lessThanOrEqual" allowBlank="1" showDropDown="1" showInputMessage="0" showErrorMessage="1" error="Skor tidak boleh melebihi skor maksimum!" sqref="Q118">
      <formula1>P118</formula1>
    </dataValidation>
    <dataValidation type="decimal" errorStyle="stop" operator="lessThanOrEqual" allowBlank="1" showDropDown="1" showInputMessage="0" showErrorMessage="1" error="Skor tidak boleh melebihi skor maksimum!" sqref="E119">
      <formula1>D119</formula1>
    </dataValidation>
    <dataValidation type="decimal" errorStyle="stop" operator="lessThanOrEqual" allowBlank="1" showDropDown="1" showInputMessage="0" showErrorMessage="1" error="Skor tidak boleh melebihi skor maksimum!" sqref="H119">
      <formula1>G119</formula1>
    </dataValidation>
    <dataValidation type="decimal" errorStyle="stop" operator="lessThanOrEqual" allowBlank="1" showDropDown="1" showInputMessage="0" showErrorMessage="1" error="Skor tidak boleh melebihi skor maksimum!" sqref="K119">
      <formula1>J119</formula1>
    </dataValidation>
    <dataValidation type="decimal" errorStyle="stop" operator="lessThanOrEqual" allowBlank="1" showDropDown="1" showInputMessage="0" showErrorMessage="1" error="Skor tidak boleh melebihi skor maksimum!" sqref="N119">
      <formula1>M119</formula1>
    </dataValidation>
    <dataValidation type="decimal" errorStyle="stop" operator="lessThanOrEqual" allowBlank="1" showDropDown="1" showInputMessage="0" showErrorMessage="1" error="Skor tidak boleh melebihi skor maksimum!" sqref="Q119">
      <formula1>P119</formula1>
    </dataValidation>
    <dataValidation type="decimal" errorStyle="stop" operator="lessThanOrEqual" allowBlank="1" showDropDown="1" showInputMessage="0" showErrorMessage="1" error="Skor tidak boleh melebihi skor maksimum!" sqref="E120">
      <formula1>D120</formula1>
    </dataValidation>
    <dataValidation type="decimal" errorStyle="stop" operator="lessThanOrEqual" allowBlank="1" showDropDown="1" showInputMessage="0" showErrorMessage="1" error="Skor tidak boleh melebihi skor maksimum!" sqref="H120">
      <formula1>G120</formula1>
    </dataValidation>
    <dataValidation type="decimal" errorStyle="stop" operator="lessThanOrEqual" allowBlank="1" showDropDown="1" showInputMessage="0" showErrorMessage="1" error="Skor tidak boleh melebihi skor maksimum!" sqref="K120">
      <formula1>J120</formula1>
    </dataValidation>
    <dataValidation type="decimal" errorStyle="stop" operator="lessThanOrEqual" allowBlank="1" showDropDown="1" showInputMessage="0" showErrorMessage="1" error="Skor tidak boleh melebihi skor maksimum!" sqref="N120">
      <formula1>M120</formula1>
    </dataValidation>
    <dataValidation type="decimal" errorStyle="stop" operator="lessThanOrEqual" allowBlank="1" showDropDown="1" showInputMessage="0" showErrorMessage="1" error="Skor tidak boleh melebihi skor maksimum!" sqref="Q120">
      <formula1>P120</formula1>
    </dataValidation>
    <dataValidation type="decimal" errorStyle="stop" operator="lessThanOrEqual" allowBlank="1" showDropDown="1" showInputMessage="0" showErrorMessage="1" error="Skor tidak boleh melebihi skor maksimum!" sqref="E121">
      <formula1>D121</formula1>
    </dataValidation>
    <dataValidation type="decimal" errorStyle="stop" operator="lessThanOrEqual" allowBlank="1" showDropDown="1" showInputMessage="0" showErrorMessage="1" error="Skor tidak boleh melebihi skor maksimum!" sqref="H121">
      <formula1>G121</formula1>
    </dataValidation>
    <dataValidation type="decimal" errorStyle="stop" operator="lessThanOrEqual" allowBlank="1" showDropDown="1" showInputMessage="0" showErrorMessage="1" error="Skor tidak boleh melebihi skor maksimum!" sqref="K121">
      <formula1>J121</formula1>
    </dataValidation>
    <dataValidation type="decimal" errorStyle="stop" operator="lessThanOrEqual" allowBlank="1" showDropDown="1" showInputMessage="0" showErrorMessage="1" error="Skor tidak boleh melebihi skor maksimum!" sqref="N121">
      <formula1>M121</formula1>
    </dataValidation>
    <dataValidation type="decimal" errorStyle="stop" operator="lessThanOrEqual" allowBlank="1" showDropDown="1" showInputMessage="0" showErrorMessage="1" error="Skor tidak boleh melebihi skor maksimum!" sqref="Q121">
      <formula1>P121</formula1>
    </dataValidation>
    <dataValidation type="decimal" errorStyle="stop" operator="lessThanOrEqual" allowBlank="1" showDropDown="1" showInputMessage="0" showErrorMessage="1" error="Skor tidak boleh melebihi skor maksimum!" sqref="E122">
      <formula1>D122</formula1>
    </dataValidation>
    <dataValidation type="decimal" errorStyle="stop" operator="lessThanOrEqual" allowBlank="1" showDropDown="1" showInputMessage="0" showErrorMessage="1" error="Skor tidak boleh melebihi skor maksimum!" sqref="H122">
      <formula1>G122</formula1>
    </dataValidation>
    <dataValidation type="decimal" errorStyle="stop" operator="lessThanOrEqual" allowBlank="1" showDropDown="1" showInputMessage="0" showErrorMessage="1" error="Skor tidak boleh melebihi skor maksimum!" sqref="K122">
      <formula1>J122</formula1>
    </dataValidation>
    <dataValidation type="decimal" errorStyle="stop" operator="lessThanOrEqual" allowBlank="1" showDropDown="1" showInputMessage="0" showErrorMessage="1" error="Skor tidak boleh melebihi skor maksimum!" sqref="N122">
      <formula1>M122</formula1>
    </dataValidation>
    <dataValidation type="decimal" errorStyle="stop" operator="lessThanOrEqual" allowBlank="1" showDropDown="1" showInputMessage="0" showErrorMessage="1" error="Skor tidak boleh melebihi skor maksimum!" sqref="Q122">
      <formula1>P122</formula1>
    </dataValidation>
    <dataValidation type="decimal" errorStyle="stop" operator="lessThanOrEqual" allowBlank="1" showDropDown="1" showInputMessage="0" showErrorMessage="1" error="Skor tidak boleh melebihi skor maksimum!" sqref="E123">
      <formula1>D123</formula1>
    </dataValidation>
    <dataValidation type="decimal" errorStyle="stop" operator="lessThanOrEqual" allowBlank="1" showDropDown="1" showInputMessage="0" showErrorMessage="1" error="Skor tidak boleh melebihi skor maksimum!" sqref="H123">
      <formula1>G123</formula1>
    </dataValidation>
    <dataValidation type="decimal" errorStyle="stop" operator="lessThanOrEqual" allowBlank="1" showDropDown="1" showInputMessage="0" showErrorMessage="1" error="Skor tidak boleh melebihi skor maksimum!" sqref="K123">
      <formula1>J123</formula1>
    </dataValidation>
    <dataValidation type="decimal" errorStyle="stop" operator="lessThanOrEqual" allowBlank="1" showDropDown="1" showInputMessage="0" showErrorMessage="1" error="Skor tidak boleh melebihi skor maksimum!" sqref="N123">
      <formula1>M123</formula1>
    </dataValidation>
    <dataValidation type="decimal" errorStyle="stop" operator="lessThanOrEqual" allowBlank="1" showDropDown="1" showInputMessage="0" showErrorMessage="1" error="Skor tidak boleh melebihi skor maksimum!" sqref="Q123">
      <formula1>P123</formula1>
    </dataValidation>
    <dataValidation type="decimal" errorStyle="stop" operator="lessThanOrEqual" allowBlank="1" showDropDown="1" showInputMessage="0" showErrorMessage="1" error="Skor tidak boleh melebihi skor maksimum!" sqref="E124">
      <formula1>D124</formula1>
    </dataValidation>
    <dataValidation type="decimal" errorStyle="stop" operator="lessThanOrEqual" allowBlank="1" showDropDown="1" showInputMessage="0" showErrorMessage="1" error="Skor tidak boleh melebihi skor maksimum!" sqref="H124">
      <formula1>G124</formula1>
    </dataValidation>
    <dataValidation type="decimal" errorStyle="stop" operator="lessThanOrEqual" allowBlank="1" showDropDown="1" showInputMessage="0" showErrorMessage="1" error="Skor tidak boleh melebihi skor maksimum!" sqref="K124">
      <formula1>J124</formula1>
    </dataValidation>
    <dataValidation type="decimal" errorStyle="stop" operator="lessThanOrEqual" allowBlank="1" showDropDown="1" showInputMessage="0" showErrorMessage="1" error="Skor tidak boleh melebihi skor maksimum!" sqref="N124">
      <formula1>M124</formula1>
    </dataValidation>
    <dataValidation type="decimal" errorStyle="stop" operator="lessThanOrEqual" allowBlank="1" showDropDown="1" showInputMessage="0" showErrorMessage="1" error="Skor tidak boleh melebihi skor maksimum!" sqref="Q124">
      <formula1>P124</formula1>
    </dataValidation>
    <dataValidation type="decimal" errorStyle="stop" operator="lessThanOrEqual" allowBlank="1" showDropDown="1" showInputMessage="0" showErrorMessage="1" error="Skor tidak boleh melebihi skor maksimum!" sqref="E125">
      <formula1>D125</formula1>
    </dataValidation>
    <dataValidation type="decimal" errorStyle="stop" operator="lessThanOrEqual" allowBlank="1" showDropDown="1" showInputMessage="0" showErrorMessage="1" error="Skor tidak boleh melebihi skor maksimum!" sqref="H125">
      <formula1>G125</formula1>
    </dataValidation>
    <dataValidation type="decimal" errorStyle="stop" operator="lessThanOrEqual" allowBlank="1" showDropDown="1" showInputMessage="0" showErrorMessage="1" error="Skor tidak boleh melebihi skor maksimum!" sqref="K125">
      <formula1>J125</formula1>
    </dataValidation>
    <dataValidation type="decimal" errorStyle="stop" operator="lessThanOrEqual" allowBlank="1" showDropDown="1" showInputMessage="0" showErrorMessage="1" error="Skor tidak boleh melebihi skor maksimum!" sqref="N125">
      <formula1>M125</formula1>
    </dataValidation>
    <dataValidation type="decimal" errorStyle="stop" operator="lessThanOrEqual" allowBlank="1" showDropDown="1" showInputMessage="0" showErrorMessage="1" error="Skor tidak boleh melebihi skor maksimum!" sqref="Q125">
      <formula1>P125</formula1>
    </dataValidation>
    <dataValidation type="decimal" errorStyle="stop" operator="lessThanOrEqual" allowBlank="1" showDropDown="1" showInputMessage="0" showErrorMessage="1" error="Skor tidak boleh melebihi skor maksimum!" sqref="E126">
      <formula1>D126</formula1>
    </dataValidation>
    <dataValidation type="decimal" errorStyle="stop" operator="lessThanOrEqual" allowBlank="1" showDropDown="1" showInputMessage="0" showErrorMessage="1" error="Skor tidak boleh melebihi skor maksimum!" sqref="H126">
      <formula1>G126</formula1>
    </dataValidation>
    <dataValidation type="decimal" errorStyle="stop" operator="lessThanOrEqual" allowBlank="1" showDropDown="1" showInputMessage="0" showErrorMessage="1" error="Skor tidak boleh melebihi skor maksimum!" sqref="K126">
      <formula1>J126</formula1>
    </dataValidation>
    <dataValidation type="decimal" errorStyle="stop" operator="lessThanOrEqual" allowBlank="1" showDropDown="1" showInputMessage="0" showErrorMessage="1" error="Skor tidak boleh melebihi skor maksimum!" sqref="N126">
      <formula1>M126</formula1>
    </dataValidation>
    <dataValidation type="decimal" errorStyle="stop" operator="lessThanOrEqual" allowBlank="1" showDropDown="1" showInputMessage="0" showErrorMessage="1" error="Skor tidak boleh melebihi skor maksimum!" sqref="Q126">
      <formula1>P126</formula1>
    </dataValidation>
    <dataValidation type="decimal" errorStyle="stop" operator="lessThanOrEqual" allowBlank="1" showDropDown="1" showInputMessage="0" showErrorMessage="1" error="Skor tidak boleh melebihi skor maksimum!" sqref="E127">
      <formula1>D127</formula1>
    </dataValidation>
    <dataValidation type="decimal" errorStyle="stop" operator="lessThanOrEqual" allowBlank="1" showDropDown="1" showInputMessage="0" showErrorMessage="1" error="Skor tidak boleh melebihi skor maksimum!" sqref="H127">
      <formula1>G127</formula1>
    </dataValidation>
    <dataValidation type="decimal" errorStyle="stop" operator="lessThanOrEqual" allowBlank="1" showDropDown="1" showInputMessage="0" showErrorMessage="1" error="Skor tidak boleh melebihi skor maksimum!" sqref="K127">
      <formula1>J127</formula1>
    </dataValidation>
    <dataValidation type="decimal" errorStyle="stop" operator="lessThanOrEqual" allowBlank="1" showDropDown="1" showInputMessage="0" showErrorMessage="1" error="Skor tidak boleh melebihi skor maksimum!" sqref="N127">
      <formula1>M127</formula1>
    </dataValidation>
    <dataValidation type="decimal" errorStyle="stop" operator="lessThanOrEqual" allowBlank="1" showDropDown="1" showInputMessage="0" showErrorMessage="1" error="Skor tidak boleh melebihi skor maksimum!" sqref="Q127">
      <formula1>P127</formula1>
    </dataValidation>
    <dataValidation type="decimal" errorStyle="stop" operator="lessThanOrEqual" allowBlank="1" showDropDown="1" showInputMessage="0" showErrorMessage="1" error="Skor tidak boleh melebihi skor maksimum!" sqref="E128">
      <formula1>D128</formula1>
    </dataValidation>
    <dataValidation type="decimal" errorStyle="stop" operator="lessThanOrEqual" allowBlank="1" showDropDown="1" showInputMessage="0" showErrorMessage="1" error="Skor tidak boleh melebihi skor maksimum!" sqref="H128">
      <formula1>G128</formula1>
    </dataValidation>
    <dataValidation type="decimal" errorStyle="stop" operator="lessThanOrEqual" allowBlank="1" showDropDown="1" showInputMessage="0" showErrorMessage="1" error="Skor tidak boleh melebihi skor maksimum!" sqref="K128">
      <formula1>J128</formula1>
    </dataValidation>
    <dataValidation type="decimal" errorStyle="stop" operator="lessThanOrEqual" allowBlank="1" showDropDown="1" showInputMessage="0" showErrorMessage="1" error="Skor tidak boleh melebihi skor maksimum!" sqref="N128">
      <formula1>M128</formula1>
    </dataValidation>
    <dataValidation type="decimal" errorStyle="stop" operator="lessThanOrEqual" allowBlank="1" showDropDown="1" showInputMessage="0" showErrorMessage="1" error="Skor tidak boleh melebihi skor maksimum!" sqref="Q128">
      <formula1>P128</formula1>
    </dataValidation>
    <dataValidation type="decimal" errorStyle="stop" operator="lessThanOrEqual" allowBlank="1" showDropDown="1" showInputMessage="0" showErrorMessage="1" error="Skor tidak boleh melebihi skor maksimum!" sqref="E129">
      <formula1>D129</formula1>
    </dataValidation>
    <dataValidation type="decimal" errorStyle="stop" operator="lessThanOrEqual" allowBlank="1" showDropDown="1" showInputMessage="0" showErrorMessage="1" error="Skor tidak boleh melebihi skor maksimum!" sqref="H129">
      <formula1>G129</formula1>
    </dataValidation>
    <dataValidation type="decimal" errorStyle="stop" operator="lessThanOrEqual" allowBlank="1" showDropDown="1" showInputMessage="0" showErrorMessage="1" error="Skor tidak boleh melebihi skor maksimum!" sqref="K129">
      <formula1>J129</formula1>
    </dataValidation>
    <dataValidation type="decimal" errorStyle="stop" operator="lessThanOrEqual" allowBlank="1" showDropDown="1" showInputMessage="0" showErrorMessage="1" error="Skor tidak boleh melebihi skor maksimum!" sqref="N129">
      <formula1>M129</formula1>
    </dataValidation>
    <dataValidation type="decimal" errorStyle="stop" operator="lessThanOrEqual" allowBlank="1" showDropDown="1" showInputMessage="0" showErrorMessage="1" error="Skor tidak boleh melebihi skor maksimum!" sqref="Q129">
      <formula1>P129</formula1>
    </dataValidation>
    <dataValidation type="decimal" errorStyle="stop" operator="lessThanOrEqual" allowBlank="1" showDropDown="1" showInputMessage="0" showErrorMessage="1" error="Skor tidak boleh melebihi skor maksimum!" sqref="E130">
      <formula1>D130</formula1>
    </dataValidation>
    <dataValidation type="decimal" errorStyle="stop" operator="lessThanOrEqual" allowBlank="1" showDropDown="1" showInputMessage="0" showErrorMessage="1" error="Skor tidak boleh melebihi skor maksimum!" sqref="H130">
      <formula1>G130</formula1>
    </dataValidation>
    <dataValidation type="decimal" errorStyle="stop" operator="lessThanOrEqual" allowBlank="1" showDropDown="1" showInputMessage="0" showErrorMessage="1" error="Skor tidak boleh melebihi skor maksimum!" sqref="K130">
      <formula1>J130</formula1>
    </dataValidation>
    <dataValidation type="decimal" errorStyle="stop" operator="lessThanOrEqual" allowBlank="1" showDropDown="1" showInputMessage="0" showErrorMessage="1" error="Skor tidak boleh melebihi skor maksimum!" sqref="N130">
      <formula1>M130</formula1>
    </dataValidation>
    <dataValidation type="decimal" errorStyle="stop" operator="lessThanOrEqual" allowBlank="1" showDropDown="1" showInputMessage="0" showErrorMessage="1" error="Skor tidak boleh melebihi skor maksimum!" sqref="Q130">
      <formula1>P130</formula1>
    </dataValidation>
    <dataValidation type="decimal" errorStyle="stop" operator="lessThanOrEqual" allowBlank="1" showDropDown="1" showInputMessage="0" showErrorMessage="1" error="Skor tidak boleh melebihi skor maksimum!" sqref="E131">
      <formula1>D131</formula1>
    </dataValidation>
    <dataValidation type="decimal" errorStyle="stop" operator="lessThanOrEqual" allowBlank="1" showDropDown="1" showInputMessage="0" showErrorMessage="1" error="Skor tidak boleh melebihi skor maksimum!" sqref="H131">
      <formula1>G131</formula1>
    </dataValidation>
    <dataValidation type="decimal" errorStyle="stop" operator="lessThanOrEqual" allowBlank="1" showDropDown="1" showInputMessage="0" showErrorMessage="1" error="Skor tidak boleh melebihi skor maksimum!" sqref="K131">
      <formula1>J131</formula1>
    </dataValidation>
    <dataValidation type="decimal" errorStyle="stop" operator="lessThanOrEqual" allowBlank="1" showDropDown="1" showInputMessage="0" showErrorMessage="1" error="Skor tidak boleh melebihi skor maksimum!" sqref="N131">
      <formula1>M131</formula1>
    </dataValidation>
    <dataValidation type="decimal" errorStyle="stop" operator="lessThanOrEqual" allowBlank="1" showDropDown="1" showInputMessage="0" showErrorMessage="1" error="Skor tidak boleh melebihi skor maksimum!" sqref="Q131">
      <formula1>P131</formula1>
    </dataValidation>
    <dataValidation type="decimal" errorStyle="stop" operator="lessThanOrEqual" allowBlank="1" showDropDown="1" showInputMessage="0" showErrorMessage="1" error="Skor tidak boleh melebihi skor maksimum!" sqref="E132">
      <formula1>D132</formula1>
    </dataValidation>
    <dataValidation type="decimal" errorStyle="stop" operator="lessThanOrEqual" allowBlank="1" showDropDown="1" showInputMessage="0" showErrorMessage="1" error="Skor tidak boleh melebihi skor maksimum!" sqref="H132">
      <formula1>G132</formula1>
    </dataValidation>
    <dataValidation type="decimal" errorStyle="stop" operator="lessThanOrEqual" allowBlank="1" showDropDown="1" showInputMessage="0" showErrorMessage="1" error="Skor tidak boleh melebihi skor maksimum!" sqref="K132">
      <formula1>J132</formula1>
    </dataValidation>
    <dataValidation type="decimal" errorStyle="stop" operator="lessThanOrEqual" allowBlank="1" showDropDown="1" showInputMessage="0" showErrorMessage="1" error="Skor tidak boleh melebihi skor maksimum!" sqref="N132">
      <formula1>M132</formula1>
    </dataValidation>
    <dataValidation type="decimal" errorStyle="stop" operator="lessThanOrEqual" allowBlank="1" showDropDown="1" showInputMessage="0" showErrorMessage="1" error="Skor tidak boleh melebihi skor maksimum!" sqref="Q132">
      <formula1>P132</formula1>
    </dataValidation>
    <dataValidation type="decimal" errorStyle="stop" operator="lessThanOrEqual" allowBlank="1" showDropDown="1" showInputMessage="0" showErrorMessage="1" error="Skor tidak boleh melebihi skor maksimum!" sqref="E133">
      <formula1>D133</formula1>
    </dataValidation>
    <dataValidation type="decimal" errorStyle="stop" operator="lessThanOrEqual" allowBlank="1" showDropDown="1" showInputMessage="0" showErrorMessage="1" error="Skor tidak boleh melebihi skor maksimum!" sqref="H133">
      <formula1>G133</formula1>
    </dataValidation>
    <dataValidation type="decimal" errorStyle="stop" operator="lessThanOrEqual" allowBlank="1" showDropDown="1" showInputMessage="0" showErrorMessage="1" error="Skor tidak boleh melebihi skor maksimum!" sqref="K133">
      <formula1>J133</formula1>
    </dataValidation>
    <dataValidation type="decimal" errorStyle="stop" operator="lessThanOrEqual" allowBlank="1" showDropDown="1" showInputMessage="0" showErrorMessage="1" error="Skor tidak boleh melebihi skor maksimum!" sqref="N133">
      <formula1>M133</formula1>
    </dataValidation>
    <dataValidation type="decimal" errorStyle="stop" operator="lessThanOrEqual" allowBlank="1" showDropDown="1" showInputMessage="0" showErrorMessage="1" error="Skor tidak boleh melebihi skor maksimum!" sqref="Q133">
      <formula1>P133</formula1>
    </dataValidation>
    <dataValidation type="decimal" errorStyle="stop" operator="lessThanOrEqual" allowBlank="1" showDropDown="1" showInputMessage="0" showErrorMessage="1" error="Skor tidak boleh melebihi skor maksimum!" sqref="E134">
      <formula1>D134</formula1>
    </dataValidation>
    <dataValidation type="decimal" errorStyle="stop" operator="lessThanOrEqual" allowBlank="1" showDropDown="1" showInputMessage="0" showErrorMessage="1" error="Skor tidak boleh melebihi skor maksimum!" sqref="H134">
      <formula1>G134</formula1>
    </dataValidation>
    <dataValidation type="decimal" errorStyle="stop" operator="lessThanOrEqual" allowBlank="1" showDropDown="1" showInputMessage="0" showErrorMessage="1" error="Skor tidak boleh melebihi skor maksimum!" sqref="K134">
      <formula1>J134</formula1>
    </dataValidation>
    <dataValidation type="decimal" errorStyle="stop" operator="lessThanOrEqual" allowBlank="1" showDropDown="1" showInputMessage="0" showErrorMessage="1" error="Skor tidak boleh melebihi skor maksimum!" sqref="N134">
      <formula1>M134</formula1>
    </dataValidation>
    <dataValidation type="decimal" errorStyle="stop" operator="lessThanOrEqual" allowBlank="1" showDropDown="1" showInputMessage="0" showErrorMessage="1" error="Skor tidak boleh melebihi skor maksimum!" sqref="Q134">
      <formula1>P134</formula1>
    </dataValidation>
    <dataValidation type="decimal" errorStyle="stop" operator="lessThanOrEqual" allowBlank="1" showDropDown="1" showInputMessage="0" showErrorMessage="1" error="Skor tidak boleh melebihi skor maksimum!" sqref="E135">
      <formula1>D135</formula1>
    </dataValidation>
    <dataValidation type="decimal" errorStyle="stop" operator="lessThanOrEqual" allowBlank="1" showDropDown="1" showInputMessage="0" showErrorMessage="1" error="Skor tidak boleh melebihi skor maksimum!" sqref="H135">
      <formula1>G135</formula1>
    </dataValidation>
    <dataValidation type="decimal" errorStyle="stop" operator="lessThanOrEqual" allowBlank="1" showDropDown="1" showInputMessage="0" showErrorMessage="1" error="Skor tidak boleh melebihi skor maksimum!" sqref="K135">
      <formula1>J135</formula1>
    </dataValidation>
    <dataValidation type="decimal" errorStyle="stop" operator="lessThanOrEqual" allowBlank="1" showDropDown="1" showInputMessage="0" showErrorMessage="1" error="Skor tidak boleh melebihi skor maksimum!" sqref="N135">
      <formula1>M135</formula1>
    </dataValidation>
    <dataValidation type="decimal" errorStyle="stop" operator="lessThanOrEqual" allowBlank="1" showDropDown="1" showInputMessage="0" showErrorMessage="1" error="Skor tidak boleh melebihi skor maksimum!" sqref="Q135">
      <formula1>P135</formula1>
    </dataValidation>
    <dataValidation type="decimal" errorStyle="stop" operator="lessThanOrEqual" allowBlank="1" showDropDown="1" showInputMessage="0" showErrorMessage="1" error="Skor tidak boleh melebihi skor maksimum!" sqref="E136">
      <formula1>D136</formula1>
    </dataValidation>
    <dataValidation type="decimal" errorStyle="stop" operator="lessThanOrEqual" allowBlank="1" showDropDown="1" showInputMessage="0" showErrorMessage="1" error="Skor tidak boleh melebihi skor maksimum!" sqref="H136">
      <formula1>G136</formula1>
    </dataValidation>
    <dataValidation type="decimal" errorStyle="stop" operator="lessThanOrEqual" allowBlank="1" showDropDown="1" showInputMessage="0" showErrorMessage="1" error="Skor tidak boleh melebihi skor maksimum!" sqref="K136">
      <formula1>J136</formula1>
    </dataValidation>
    <dataValidation type="decimal" errorStyle="stop" operator="lessThanOrEqual" allowBlank="1" showDropDown="1" showInputMessage="0" showErrorMessage="1" error="Skor tidak boleh melebihi skor maksimum!" sqref="N136">
      <formula1>M136</formula1>
    </dataValidation>
    <dataValidation type="decimal" errorStyle="stop" operator="lessThanOrEqual" allowBlank="1" showDropDown="1" showInputMessage="0" showErrorMessage="1" error="Skor tidak boleh melebihi skor maksimum!" sqref="Q136">
      <formula1>P136</formula1>
    </dataValidation>
    <dataValidation type="decimal" errorStyle="stop" operator="lessThanOrEqual" allowBlank="1" showDropDown="1" showInputMessage="0" showErrorMessage="1" error="Skor tidak boleh melebihi skor maksimum!" sqref="E137">
      <formula1>D137</formula1>
    </dataValidation>
    <dataValidation type="decimal" errorStyle="stop" operator="lessThanOrEqual" allowBlank="1" showDropDown="1" showInputMessage="0" showErrorMessage="1" error="Skor tidak boleh melebihi skor maksimum!" sqref="H137">
      <formula1>G137</formula1>
    </dataValidation>
    <dataValidation type="decimal" errorStyle="stop" operator="lessThanOrEqual" allowBlank="1" showDropDown="1" showInputMessage="0" showErrorMessage="1" error="Skor tidak boleh melebihi skor maksimum!" sqref="K137">
      <formula1>J137</formula1>
    </dataValidation>
    <dataValidation type="decimal" errorStyle="stop" operator="lessThanOrEqual" allowBlank="1" showDropDown="1" showInputMessage="0" showErrorMessage="1" error="Skor tidak boleh melebihi skor maksimum!" sqref="N137">
      <formula1>M137</formula1>
    </dataValidation>
    <dataValidation type="decimal" errorStyle="stop" operator="lessThanOrEqual" allowBlank="1" showDropDown="1" showInputMessage="0" showErrorMessage="1" error="Skor tidak boleh melebihi skor maksimum!" sqref="Q137">
      <formula1>P137</formula1>
    </dataValidation>
    <dataValidation type="decimal" errorStyle="stop" operator="lessThanOrEqual" allowBlank="1" showDropDown="1" showInputMessage="0" showErrorMessage="1" error="Skor tidak boleh melebihi skor maksimum!" sqref="E138">
      <formula1>D138</formula1>
    </dataValidation>
    <dataValidation type="decimal" errorStyle="stop" operator="lessThanOrEqual" allowBlank="1" showDropDown="1" showInputMessage="0" showErrorMessage="1" error="Skor tidak boleh melebihi skor maksimum!" sqref="H138">
      <formula1>G138</formula1>
    </dataValidation>
    <dataValidation type="decimal" errorStyle="stop" operator="lessThanOrEqual" allowBlank="1" showDropDown="1" showInputMessage="0" showErrorMessage="1" error="Skor tidak boleh melebihi skor maksimum!" sqref="K138">
      <formula1>J138</formula1>
    </dataValidation>
    <dataValidation type="decimal" errorStyle="stop" operator="lessThanOrEqual" allowBlank="1" showDropDown="1" showInputMessage="0" showErrorMessage="1" error="Skor tidak boleh melebihi skor maksimum!" sqref="N138">
      <formula1>M138</formula1>
    </dataValidation>
    <dataValidation type="decimal" errorStyle="stop" operator="lessThanOrEqual" allowBlank="1" showDropDown="1" showInputMessage="0" showErrorMessage="1" error="Skor tidak boleh melebihi skor maksimum!" sqref="Q138">
      <formula1>P138</formula1>
    </dataValidation>
    <dataValidation type="decimal" errorStyle="stop" operator="lessThanOrEqual" allowBlank="1" showDropDown="1" showInputMessage="0" showErrorMessage="1" error="Skor tidak boleh melebihi skor maksimum!" sqref="E139">
      <formula1>D139</formula1>
    </dataValidation>
    <dataValidation type="decimal" errorStyle="stop" operator="lessThanOrEqual" allowBlank="1" showDropDown="1" showInputMessage="0" showErrorMessage="1" error="Skor tidak boleh melebihi skor maksimum!" sqref="H139">
      <formula1>G139</formula1>
    </dataValidation>
    <dataValidation type="decimal" errorStyle="stop" operator="lessThanOrEqual" allowBlank="1" showDropDown="1" showInputMessage="0" showErrorMessage="1" error="Skor tidak boleh melebihi skor maksimum!" sqref="K139">
      <formula1>J139</formula1>
    </dataValidation>
    <dataValidation type="decimal" errorStyle="stop" operator="lessThanOrEqual" allowBlank="1" showDropDown="1" showInputMessage="0" showErrorMessage="1" error="Skor tidak boleh melebihi skor maksimum!" sqref="N139">
      <formula1>M139</formula1>
    </dataValidation>
    <dataValidation type="decimal" errorStyle="stop" operator="lessThanOrEqual" allowBlank="1" showDropDown="1" showInputMessage="0" showErrorMessage="1" error="Skor tidak boleh melebihi skor maksimum!" sqref="Q139">
      <formula1>P139</formula1>
    </dataValidation>
    <dataValidation type="decimal" errorStyle="stop" operator="lessThanOrEqual" allowBlank="1" showDropDown="1" showInputMessage="0" showErrorMessage="1" error="Skor tidak boleh melebihi skor maksimum!" sqref="E140">
      <formula1>D140</formula1>
    </dataValidation>
    <dataValidation type="decimal" errorStyle="stop" operator="lessThanOrEqual" allowBlank="1" showDropDown="1" showInputMessage="0" showErrorMessage="1" error="Skor tidak boleh melebihi skor maksimum!" sqref="H140">
      <formula1>G140</formula1>
    </dataValidation>
    <dataValidation type="decimal" errorStyle="stop" operator="lessThanOrEqual" allowBlank="1" showDropDown="1" showInputMessage="0" showErrorMessage="1" error="Skor tidak boleh melebihi skor maksimum!" sqref="K140">
      <formula1>J140</formula1>
    </dataValidation>
    <dataValidation type="decimal" errorStyle="stop" operator="lessThanOrEqual" allowBlank="1" showDropDown="1" showInputMessage="0" showErrorMessage="1" error="Skor tidak boleh melebihi skor maksimum!" sqref="N140">
      <formula1>M140</formula1>
    </dataValidation>
    <dataValidation type="decimal" errorStyle="stop" operator="lessThanOrEqual" allowBlank="1" showDropDown="1" showInputMessage="0" showErrorMessage="1" error="Skor tidak boleh melebihi skor maksimum!" sqref="Q140">
      <formula1>P140</formula1>
    </dataValidation>
    <dataValidation type="decimal" errorStyle="stop" operator="lessThanOrEqual" allowBlank="1" showDropDown="1" showInputMessage="0" showErrorMessage="1" error="Skor tidak boleh melebihi skor maksimum!" sqref="E141">
      <formula1>D141</formula1>
    </dataValidation>
    <dataValidation type="decimal" errorStyle="stop" operator="lessThanOrEqual" allowBlank="1" showDropDown="1" showInputMessage="0" showErrorMessage="1" error="Skor tidak boleh melebihi skor maksimum!" sqref="H141">
      <formula1>G141</formula1>
    </dataValidation>
    <dataValidation type="decimal" errorStyle="stop" operator="lessThanOrEqual" allowBlank="1" showDropDown="1" showInputMessage="0" showErrorMessage="1" error="Skor tidak boleh melebihi skor maksimum!" sqref="K141">
      <formula1>J141</formula1>
    </dataValidation>
    <dataValidation type="decimal" errorStyle="stop" operator="lessThanOrEqual" allowBlank="1" showDropDown="1" showInputMessage="0" showErrorMessage="1" error="Skor tidak boleh melebihi skor maksimum!" sqref="N141">
      <formula1>M141</formula1>
    </dataValidation>
    <dataValidation type="decimal" errorStyle="stop" operator="lessThanOrEqual" allowBlank="1" showDropDown="1" showInputMessage="0" showErrorMessage="1" error="Skor tidak boleh melebihi skor maksimum!" sqref="Q141">
      <formula1>P141</formula1>
    </dataValidation>
    <dataValidation type="decimal" errorStyle="stop" operator="lessThanOrEqual" allowBlank="1" showDropDown="1" showInputMessage="0" showErrorMessage="1" error="Skor tidak boleh melebihi skor maksimum!" sqref="E142">
      <formula1>D142</formula1>
    </dataValidation>
    <dataValidation type="decimal" errorStyle="stop" operator="lessThanOrEqual" allowBlank="1" showDropDown="1" showInputMessage="0" showErrorMessage="1" error="Skor tidak boleh melebihi skor maksimum!" sqref="H142">
      <formula1>G142</formula1>
    </dataValidation>
    <dataValidation type="decimal" errorStyle="stop" operator="lessThanOrEqual" allowBlank="1" showDropDown="1" showInputMessage="0" showErrorMessage="1" error="Skor tidak boleh melebihi skor maksimum!" sqref="K142">
      <formula1>J142</formula1>
    </dataValidation>
    <dataValidation type="decimal" errorStyle="stop" operator="lessThanOrEqual" allowBlank="1" showDropDown="1" showInputMessage="0" showErrorMessage="1" error="Skor tidak boleh melebihi skor maksimum!" sqref="N142">
      <formula1>M142</formula1>
    </dataValidation>
    <dataValidation type="decimal" errorStyle="stop" operator="lessThanOrEqual" allowBlank="1" showDropDown="1" showInputMessage="0" showErrorMessage="1" error="Skor tidak boleh melebihi skor maksimum!" sqref="Q142">
      <formula1>P142</formula1>
    </dataValidation>
    <dataValidation type="decimal" errorStyle="stop" operator="lessThanOrEqual" allowBlank="1" showDropDown="1" showInputMessage="0" showErrorMessage="1" error="Skor tidak boleh melebihi skor maksimum!" sqref="E143">
      <formula1>D143</formula1>
    </dataValidation>
    <dataValidation type="decimal" errorStyle="stop" operator="lessThanOrEqual" allowBlank="1" showDropDown="1" showInputMessage="0" showErrorMessage="1" error="Skor tidak boleh melebihi skor maksimum!" sqref="H143">
      <formula1>G143</formula1>
    </dataValidation>
    <dataValidation type="decimal" errorStyle="stop" operator="lessThanOrEqual" allowBlank="1" showDropDown="1" showInputMessage="0" showErrorMessage="1" error="Skor tidak boleh melebihi skor maksimum!" sqref="K143">
      <formula1>J143</formula1>
    </dataValidation>
    <dataValidation type="decimal" errorStyle="stop" operator="lessThanOrEqual" allowBlank="1" showDropDown="1" showInputMessage="0" showErrorMessage="1" error="Skor tidak boleh melebihi skor maksimum!" sqref="N143">
      <formula1>M143</formula1>
    </dataValidation>
    <dataValidation type="decimal" errorStyle="stop" operator="lessThanOrEqual" allowBlank="1" showDropDown="1" showInputMessage="0" showErrorMessage="1" error="Skor tidak boleh melebihi skor maksimum!" sqref="Q143">
      <formula1>P143</formula1>
    </dataValidation>
    <dataValidation type="decimal" errorStyle="stop" operator="lessThanOrEqual" allowBlank="1" showDropDown="1" showInputMessage="0" showErrorMessage="1" error="Skor tidak boleh melebihi skor maksimum!" sqref="E144">
      <formula1>D144</formula1>
    </dataValidation>
    <dataValidation type="decimal" errorStyle="stop" operator="lessThanOrEqual" allowBlank="1" showDropDown="1" showInputMessage="0" showErrorMessage="1" error="Skor tidak boleh melebihi skor maksimum!" sqref="H144">
      <formula1>G144</formula1>
    </dataValidation>
    <dataValidation type="decimal" errorStyle="stop" operator="lessThanOrEqual" allowBlank="1" showDropDown="1" showInputMessage="0" showErrorMessage="1" error="Skor tidak boleh melebihi skor maksimum!" sqref="K144">
      <formula1>J144</formula1>
    </dataValidation>
    <dataValidation type="decimal" errorStyle="stop" operator="lessThanOrEqual" allowBlank="1" showDropDown="1" showInputMessage="0" showErrorMessage="1" error="Skor tidak boleh melebihi skor maksimum!" sqref="N144">
      <formula1>M144</formula1>
    </dataValidation>
    <dataValidation type="decimal" errorStyle="stop" operator="lessThanOrEqual" allowBlank="1" showDropDown="1" showInputMessage="0" showErrorMessage="1" error="Skor tidak boleh melebihi skor maksimum!" sqref="Q144">
      <formula1>P144</formula1>
    </dataValidation>
    <dataValidation type="decimal" errorStyle="stop" operator="lessThanOrEqual" allowBlank="1" showDropDown="1" showInputMessage="0" showErrorMessage="1" error="Skor tidak boleh melebihi skor maksimum!" sqref="E145">
      <formula1>D145</formula1>
    </dataValidation>
    <dataValidation type="decimal" errorStyle="stop" operator="lessThanOrEqual" allowBlank="1" showDropDown="1" showInputMessage="0" showErrorMessage="1" error="Skor tidak boleh melebihi skor maksimum!" sqref="H145">
      <formula1>G145</formula1>
    </dataValidation>
    <dataValidation type="decimal" errorStyle="stop" operator="lessThanOrEqual" allowBlank="1" showDropDown="1" showInputMessage="0" showErrorMessage="1" error="Skor tidak boleh melebihi skor maksimum!" sqref="K145">
      <formula1>J145</formula1>
    </dataValidation>
    <dataValidation type="decimal" errorStyle="stop" operator="lessThanOrEqual" allowBlank="1" showDropDown="1" showInputMessage="0" showErrorMessage="1" error="Skor tidak boleh melebihi skor maksimum!" sqref="N145">
      <formula1>M145</formula1>
    </dataValidation>
    <dataValidation type="decimal" errorStyle="stop" operator="lessThanOrEqual" allowBlank="1" showDropDown="1" showInputMessage="0" showErrorMessage="1" error="Skor tidak boleh melebihi skor maksimum!" sqref="Q145">
      <formula1>P145</formula1>
    </dataValidation>
    <dataValidation type="decimal" errorStyle="stop" operator="lessThanOrEqual" allowBlank="1" showDropDown="1" showInputMessage="0" showErrorMessage="1" error="Skor tidak boleh melebihi skor maksimum!" sqref="E146">
      <formula1>D146</formula1>
    </dataValidation>
    <dataValidation type="decimal" errorStyle="stop" operator="lessThanOrEqual" allowBlank="1" showDropDown="1" showInputMessage="0" showErrorMessage="1" error="Skor tidak boleh melebihi skor maksimum!" sqref="H146">
      <formula1>G146</formula1>
    </dataValidation>
    <dataValidation type="decimal" errorStyle="stop" operator="lessThanOrEqual" allowBlank="1" showDropDown="1" showInputMessage="0" showErrorMessage="1" error="Skor tidak boleh melebihi skor maksimum!" sqref="K146">
      <formula1>J146</formula1>
    </dataValidation>
    <dataValidation type="decimal" errorStyle="stop" operator="lessThanOrEqual" allowBlank="1" showDropDown="1" showInputMessage="0" showErrorMessage="1" error="Skor tidak boleh melebihi skor maksimum!" sqref="N146">
      <formula1>M146</formula1>
    </dataValidation>
    <dataValidation type="decimal" errorStyle="stop" operator="lessThanOrEqual" allowBlank="1" showDropDown="1" showInputMessage="0" showErrorMessage="1" error="Skor tidak boleh melebihi skor maksimum!" sqref="Q146">
      <formula1>P146</formula1>
    </dataValidation>
    <dataValidation type="decimal" errorStyle="stop" operator="lessThanOrEqual" allowBlank="1" showDropDown="1" showInputMessage="0" showErrorMessage="1" error="Skor tidak boleh melebihi skor maksimum!" sqref="E147">
      <formula1>D147</formula1>
    </dataValidation>
    <dataValidation type="decimal" errorStyle="stop" operator="lessThanOrEqual" allowBlank="1" showDropDown="1" showInputMessage="0" showErrorMessage="1" error="Skor tidak boleh melebihi skor maksimum!" sqref="H147">
      <formula1>G147</formula1>
    </dataValidation>
    <dataValidation type="decimal" errorStyle="stop" operator="lessThanOrEqual" allowBlank="1" showDropDown="1" showInputMessage="0" showErrorMessage="1" error="Skor tidak boleh melebihi skor maksimum!" sqref="K147">
      <formula1>J147</formula1>
    </dataValidation>
    <dataValidation type="decimal" errorStyle="stop" operator="lessThanOrEqual" allowBlank="1" showDropDown="1" showInputMessage="0" showErrorMessage="1" error="Skor tidak boleh melebihi skor maksimum!" sqref="N147">
      <formula1>M147</formula1>
    </dataValidation>
    <dataValidation type="decimal" errorStyle="stop" operator="lessThanOrEqual" allowBlank="1" showDropDown="1" showInputMessage="0" showErrorMessage="1" error="Skor tidak boleh melebihi skor maksimum!" sqref="Q147">
      <formula1>P147</formula1>
    </dataValidation>
    <dataValidation type="decimal" errorStyle="stop" operator="lessThanOrEqual" allowBlank="1" showDropDown="1" showInputMessage="0" showErrorMessage="1" error="Skor tidak boleh melebihi skor maksimum!" sqref="E148">
      <formula1>D148</formula1>
    </dataValidation>
    <dataValidation type="decimal" errorStyle="stop" operator="lessThanOrEqual" allowBlank="1" showDropDown="1" showInputMessage="0" showErrorMessage="1" error="Skor tidak boleh melebihi skor maksimum!" sqref="H148">
      <formula1>G148</formula1>
    </dataValidation>
    <dataValidation type="decimal" errorStyle="stop" operator="lessThanOrEqual" allowBlank="1" showDropDown="1" showInputMessage="0" showErrorMessage="1" error="Skor tidak boleh melebihi skor maksimum!" sqref="K148">
      <formula1>J148</formula1>
    </dataValidation>
    <dataValidation type="decimal" errorStyle="stop" operator="lessThanOrEqual" allowBlank="1" showDropDown="1" showInputMessage="0" showErrorMessage="1" error="Skor tidak boleh melebihi skor maksimum!" sqref="N148">
      <formula1>M148</formula1>
    </dataValidation>
    <dataValidation type="decimal" errorStyle="stop" operator="lessThanOrEqual" allowBlank="1" showDropDown="1" showInputMessage="0" showErrorMessage="1" error="Skor tidak boleh melebihi skor maksimum!" sqref="Q148">
      <formula1>P148</formula1>
    </dataValidation>
    <dataValidation type="decimal" errorStyle="stop" operator="lessThanOrEqual" allowBlank="1" showDropDown="1" showInputMessage="0" showErrorMessage="1" error="Skor tidak boleh melebihi skor maksimum!" sqref="E149">
      <formula1>D149</formula1>
    </dataValidation>
    <dataValidation type="decimal" errorStyle="stop" operator="lessThanOrEqual" allowBlank="1" showDropDown="1" showInputMessage="0" showErrorMessage="1" error="Skor tidak boleh melebihi skor maksimum!" sqref="H149">
      <formula1>G149</formula1>
    </dataValidation>
    <dataValidation type="decimal" errorStyle="stop" operator="lessThanOrEqual" allowBlank="1" showDropDown="1" showInputMessage="0" showErrorMessage="1" error="Skor tidak boleh melebihi skor maksimum!" sqref="K149">
      <formula1>J149</formula1>
    </dataValidation>
    <dataValidation type="decimal" errorStyle="stop" operator="lessThanOrEqual" allowBlank="1" showDropDown="1" showInputMessage="0" showErrorMessage="1" error="Skor tidak boleh melebihi skor maksimum!" sqref="N149">
      <formula1>M149</formula1>
    </dataValidation>
    <dataValidation type="decimal" errorStyle="stop" operator="lessThanOrEqual" allowBlank="1" showDropDown="1" showInputMessage="0" showErrorMessage="1" error="Skor tidak boleh melebihi skor maksimum!" sqref="Q149">
      <formula1>P149</formula1>
    </dataValidation>
    <dataValidation type="decimal" errorStyle="stop" operator="lessThanOrEqual" allowBlank="1" showDropDown="1" showInputMessage="0" showErrorMessage="1" error="Skor tidak boleh melebihi skor maksimum!" sqref="E150">
      <formula1>D150</formula1>
    </dataValidation>
    <dataValidation type="decimal" errorStyle="stop" operator="lessThanOrEqual" allowBlank="1" showDropDown="1" showInputMessage="0" showErrorMessage="1" error="Skor tidak boleh melebihi skor maksimum!" sqref="H150">
      <formula1>G150</formula1>
    </dataValidation>
    <dataValidation type="decimal" errorStyle="stop" operator="lessThanOrEqual" allowBlank="1" showDropDown="1" showInputMessage="0" showErrorMessage="1" error="Skor tidak boleh melebihi skor maksimum!" sqref="K150">
      <formula1>J150</formula1>
    </dataValidation>
    <dataValidation type="decimal" errorStyle="stop" operator="lessThanOrEqual" allowBlank="1" showDropDown="1" showInputMessage="0" showErrorMessage="1" error="Skor tidak boleh melebihi skor maksimum!" sqref="N150">
      <formula1>M150</formula1>
    </dataValidation>
    <dataValidation type="decimal" errorStyle="stop" operator="lessThanOrEqual" allowBlank="1" showDropDown="1" showInputMessage="0" showErrorMessage="1" error="Skor tidak boleh melebihi skor maksimum!" sqref="Q150">
      <formula1>P150</formula1>
    </dataValidation>
    <dataValidation type="decimal" errorStyle="stop" operator="lessThanOrEqual" allowBlank="1" showDropDown="1" showInputMessage="0" showErrorMessage="1" error="Skor tidak boleh melebihi skor maksimum!" sqref="E151">
      <formula1>D151</formula1>
    </dataValidation>
    <dataValidation type="decimal" errorStyle="stop" operator="lessThanOrEqual" allowBlank="1" showDropDown="1" showInputMessage="0" showErrorMessage="1" error="Skor tidak boleh melebihi skor maksimum!" sqref="H151">
      <formula1>G151</formula1>
    </dataValidation>
    <dataValidation type="decimal" errorStyle="stop" operator="lessThanOrEqual" allowBlank="1" showDropDown="1" showInputMessage="0" showErrorMessage="1" error="Skor tidak boleh melebihi skor maksimum!" sqref="K151">
      <formula1>J151</formula1>
    </dataValidation>
    <dataValidation type="decimal" errorStyle="stop" operator="lessThanOrEqual" allowBlank="1" showDropDown="1" showInputMessage="0" showErrorMessage="1" error="Skor tidak boleh melebihi skor maksimum!" sqref="N151">
      <formula1>M151</formula1>
    </dataValidation>
    <dataValidation type="decimal" errorStyle="stop" operator="lessThanOrEqual" allowBlank="1" showDropDown="1" showInputMessage="0" showErrorMessage="1" error="Skor tidak boleh melebihi skor maksimum!" sqref="Q151">
      <formula1>P151</formula1>
    </dataValidation>
    <dataValidation type="decimal" errorStyle="stop" operator="lessThanOrEqual" allowBlank="1" showDropDown="1" showInputMessage="0" showErrorMessage="1" error="Skor tidak boleh melebihi skor maksimum!" sqref="E152">
      <formula1>D152</formula1>
    </dataValidation>
    <dataValidation type="decimal" errorStyle="stop" operator="lessThanOrEqual" allowBlank="1" showDropDown="1" showInputMessage="0" showErrorMessage="1" error="Skor tidak boleh melebihi skor maksimum!" sqref="H152">
      <formula1>G152</formula1>
    </dataValidation>
    <dataValidation type="decimal" errorStyle="stop" operator="lessThanOrEqual" allowBlank="1" showDropDown="1" showInputMessage="0" showErrorMessage="1" error="Skor tidak boleh melebihi skor maksimum!" sqref="K152">
      <formula1>J152</formula1>
    </dataValidation>
    <dataValidation type="decimal" errorStyle="stop" operator="lessThanOrEqual" allowBlank="1" showDropDown="1" showInputMessage="0" showErrorMessage="1" error="Skor tidak boleh melebihi skor maksimum!" sqref="N152">
      <formula1>M152</formula1>
    </dataValidation>
    <dataValidation type="decimal" errorStyle="stop" operator="lessThanOrEqual" allowBlank="1" showDropDown="1" showInputMessage="0" showErrorMessage="1" error="Skor tidak boleh melebihi skor maksimum!" sqref="Q152">
      <formula1>P152</formula1>
    </dataValidation>
    <dataValidation type="decimal" errorStyle="stop" operator="lessThanOrEqual" allowBlank="1" showDropDown="1" showInputMessage="0" showErrorMessage="1" error="Skor tidak boleh melebihi skor maksimum!" sqref="E153">
      <formula1>D153</formula1>
    </dataValidation>
    <dataValidation type="decimal" errorStyle="stop" operator="lessThanOrEqual" allowBlank="1" showDropDown="1" showInputMessage="0" showErrorMessage="1" error="Skor tidak boleh melebihi skor maksimum!" sqref="H153">
      <formula1>G153</formula1>
    </dataValidation>
    <dataValidation type="decimal" errorStyle="stop" operator="lessThanOrEqual" allowBlank="1" showDropDown="1" showInputMessage="0" showErrorMessage="1" error="Skor tidak boleh melebihi skor maksimum!" sqref="K153">
      <formula1>J153</formula1>
    </dataValidation>
    <dataValidation type="decimal" errorStyle="stop" operator="lessThanOrEqual" allowBlank="1" showDropDown="1" showInputMessage="0" showErrorMessage="1" error="Skor tidak boleh melebihi skor maksimum!" sqref="N153">
      <formula1>M153</formula1>
    </dataValidation>
    <dataValidation type="decimal" errorStyle="stop" operator="lessThanOrEqual" allowBlank="1" showDropDown="1" showInputMessage="0" showErrorMessage="1" error="Skor tidak boleh melebihi skor maksimum!" sqref="Q153">
      <formula1>P153</formula1>
    </dataValidation>
    <dataValidation type="decimal" errorStyle="stop" operator="lessThanOrEqual" allowBlank="1" showDropDown="1" showInputMessage="0" showErrorMessage="1" error="Skor tidak boleh melebihi skor maksimum!" sqref="E154">
      <formula1>D154</formula1>
    </dataValidation>
    <dataValidation type="decimal" errorStyle="stop" operator="lessThanOrEqual" allowBlank="1" showDropDown="1" showInputMessage="0" showErrorMessage="1" error="Skor tidak boleh melebihi skor maksimum!" sqref="H154">
      <formula1>G154</formula1>
    </dataValidation>
    <dataValidation type="decimal" errorStyle="stop" operator="lessThanOrEqual" allowBlank="1" showDropDown="1" showInputMessage="0" showErrorMessage="1" error="Skor tidak boleh melebihi skor maksimum!" sqref="K154">
      <formula1>J154</formula1>
    </dataValidation>
    <dataValidation type="decimal" errorStyle="stop" operator="lessThanOrEqual" allowBlank="1" showDropDown="1" showInputMessage="0" showErrorMessage="1" error="Skor tidak boleh melebihi skor maksimum!" sqref="N154">
      <formula1>M154</formula1>
    </dataValidation>
    <dataValidation type="decimal" errorStyle="stop" operator="lessThanOrEqual" allowBlank="1" showDropDown="1" showInputMessage="0" showErrorMessage="1" error="Skor tidak boleh melebihi skor maksimum!" sqref="Q154">
      <formula1>P154</formula1>
    </dataValidation>
    <dataValidation type="decimal" errorStyle="stop" operator="lessThanOrEqual" allowBlank="1" showDropDown="1" showInputMessage="0" showErrorMessage="1" error="Skor tidak boleh melebihi skor maksimum!" sqref="E155">
      <formula1>D155</formula1>
    </dataValidation>
    <dataValidation type="decimal" errorStyle="stop" operator="lessThanOrEqual" allowBlank="1" showDropDown="1" showInputMessage="0" showErrorMessage="1" error="Skor tidak boleh melebihi skor maksimum!" sqref="H155">
      <formula1>G155</formula1>
    </dataValidation>
    <dataValidation type="decimal" errorStyle="stop" operator="lessThanOrEqual" allowBlank="1" showDropDown="1" showInputMessage="0" showErrorMessage="1" error="Skor tidak boleh melebihi skor maksimum!" sqref="K155">
      <formula1>J155</formula1>
    </dataValidation>
    <dataValidation type="decimal" errorStyle="stop" operator="lessThanOrEqual" allowBlank="1" showDropDown="1" showInputMessage="0" showErrorMessage="1" error="Skor tidak boleh melebihi skor maksimum!" sqref="N155">
      <formula1>M155</formula1>
    </dataValidation>
    <dataValidation type="decimal" errorStyle="stop" operator="lessThanOrEqual" allowBlank="1" showDropDown="1" showInputMessage="0" showErrorMessage="1" error="Skor tidak boleh melebihi skor maksimum!" sqref="Q155">
      <formula1>P155</formula1>
    </dataValidation>
    <dataValidation type="decimal" errorStyle="stop" operator="lessThanOrEqual" allowBlank="1" showDropDown="1" showInputMessage="0" showErrorMessage="1" error="Skor tidak boleh melebihi skor maksimum!" sqref="E156">
      <formula1>D156</formula1>
    </dataValidation>
    <dataValidation type="decimal" errorStyle="stop" operator="lessThanOrEqual" allowBlank="1" showDropDown="1" showInputMessage="0" showErrorMessage="1" error="Skor tidak boleh melebihi skor maksimum!" sqref="H156">
      <formula1>G156</formula1>
    </dataValidation>
    <dataValidation type="decimal" errorStyle="stop" operator="lessThanOrEqual" allowBlank="1" showDropDown="1" showInputMessage="0" showErrorMessage="1" error="Skor tidak boleh melebihi skor maksimum!" sqref="K156">
      <formula1>J156</formula1>
    </dataValidation>
    <dataValidation type="decimal" errorStyle="stop" operator="lessThanOrEqual" allowBlank="1" showDropDown="1" showInputMessage="0" showErrorMessage="1" error="Skor tidak boleh melebihi skor maksimum!" sqref="N156">
      <formula1>M156</formula1>
    </dataValidation>
    <dataValidation type="decimal" errorStyle="stop" operator="lessThanOrEqual" allowBlank="1" showDropDown="1" showInputMessage="0" showErrorMessage="1" error="Skor tidak boleh melebihi skor maksimum!" sqref="Q156">
      <formula1>P156</formula1>
    </dataValidation>
    <dataValidation type="decimal" errorStyle="stop" operator="lessThanOrEqual" allowBlank="1" showDropDown="1" showInputMessage="0" showErrorMessage="1" error="Skor tidak boleh melebihi skor maksimum!" sqref="E157">
      <formula1>D157</formula1>
    </dataValidation>
    <dataValidation type="decimal" errorStyle="stop" operator="lessThanOrEqual" allowBlank="1" showDropDown="1" showInputMessage="0" showErrorMessage="1" error="Skor tidak boleh melebihi skor maksimum!" sqref="H157">
      <formula1>G157</formula1>
    </dataValidation>
    <dataValidation type="decimal" errorStyle="stop" operator="lessThanOrEqual" allowBlank="1" showDropDown="1" showInputMessage="0" showErrorMessage="1" error="Skor tidak boleh melebihi skor maksimum!" sqref="K157">
      <formula1>J157</formula1>
    </dataValidation>
    <dataValidation type="decimal" errorStyle="stop" operator="lessThanOrEqual" allowBlank="1" showDropDown="1" showInputMessage="0" showErrorMessage="1" error="Skor tidak boleh melebihi skor maksimum!" sqref="N157">
      <formula1>M157</formula1>
    </dataValidation>
    <dataValidation type="decimal" errorStyle="stop" operator="lessThanOrEqual" allowBlank="1" showDropDown="1" showInputMessage="0" showErrorMessage="1" error="Skor tidak boleh melebihi skor maksimum!" sqref="Q157">
      <formula1>P157</formula1>
    </dataValidation>
    <dataValidation type="decimal" errorStyle="stop" operator="lessThanOrEqual" allowBlank="1" showDropDown="1" showInputMessage="0" showErrorMessage="1" error="Skor tidak boleh melebihi skor maksimum!" sqref="E158">
      <formula1>D158</formula1>
    </dataValidation>
    <dataValidation type="decimal" errorStyle="stop" operator="lessThanOrEqual" allowBlank="1" showDropDown="1" showInputMessage="0" showErrorMessage="1" error="Skor tidak boleh melebihi skor maksimum!" sqref="H158">
      <formula1>G158</formula1>
    </dataValidation>
    <dataValidation type="decimal" errorStyle="stop" operator="lessThanOrEqual" allowBlank="1" showDropDown="1" showInputMessage="0" showErrorMessage="1" error="Skor tidak boleh melebihi skor maksimum!" sqref="K158">
      <formula1>J158</formula1>
    </dataValidation>
    <dataValidation type="decimal" errorStyle="stop" operator="lessThanOrEqual" allowBlank="1" showDropDown="1" showInputMessage="0" showErrorMessage="1" error="Skor tidak boleh melebihi skor maksimum!" sqref="N158">
      <formula1>M158</formula1>
    </dataValidation>
    <dataValidation type="decimal" errorStyle="stop" operator="lessThanOrEqual" allowBlank="1" showDropDown="1" showInputMessage="0" showErrorMessage="1" error="Skor tidak boleh melebihi skor maksimum!" sqref="Q158">
      <formula1>P158</formula1>
    </dataValidation>
    <dataValidation type="decimal" errorStyle="stop" operator="lessThanOrEqual" allowBlank="1" showDropDown="1" showInputMessage="0" showErrorMessage="1" error="Skor tidak boleh melebihi skor maksimum!" sqref="E159">
      <formula1>D159</formula1>
    </dataValidation>
    <dataValidation type="decimal" errorStyle="stop" operator="lessThanOrEqual" allowBlank="1" showDropDown="1" showInputMessage="0" showErrorMessage="1" error="Skor tidak boleh melebihi skor maksimum!" sqref="H159">
      <formula1>G159</formula1>
    </dataValidation>
    <dataValidation type="decimal" errorStyle="stop" operator="lessThanOrEqual" allowBlank="1" showDropDown="1" showInputMessage="0" showErrorMessage="1" error="Skor tidak boleh melebihi skor maksimum!" sqref="K159">
      <formula1>J159</formula1>
    </dataValidation>
    <dataValidation type="decimal" errorStyle="stop" operator="lessThanOrEqual" allowBlank="1" showDropDown="1" showInputMessage="0" showErrorMessage="1" error="Skor tidak boleh melebihi skor maksimum!" sqref="N159">
      <formula1>M159</formula1>
    </dataValidation>
    <dataValidation type="decimal" errorStyle="stop" operator="lessThanOrEqual" allowBlank="1" showDropDown="1" showInputMessage="0" showErrorMessage="1" error="Skor tidak boleh melebihi skor maksimum!" sqref="Q159">
      <formula1>P159</formula1>
    </dataValidation>
    <dataValidation type="decimal" errorStyle="stop" operator="lessThanOrEqual" allowBlank="1" showDropDown="1" showInputMessage="0" showErrorMessage="1" error="Skor tidak boleh melebihi skor maksimum!" sqref="E160">
      <formula1>D160</formula1>
    </dataValidation>
    <dataValidation type="decimal" errorStyle="stop" operator="lessThanOrEqual" allowBlank="1" showDropDown="1" showInputMessage="0" showErrorMessage="1" error="Skor tidak boleh melebihi skor maksimum!" sqref="H160">
      <formula1>G160</formula1>
    </dataValidation>
    <dataValidation type="decimal" errorStyle="stop" operator="lessThanOrEqual" allowBlank="1" showDropDown="1" showInputMessage="0" showErrorMessage="1" error="Skor tidak boleh melebihi skor maksimum!" sqref="K160">
      <formula1>J160</formula1>
    </dataValidation>
    <dataValidation type="decimal" errorStyle="stop" operator="lessThanOrEqual" allowBlank="1" showDropDown="1" showInputMessage="0" showErrorMessage="1" error="Skor tidak boleh melebihi skor maksimum!" sqref="N160">
      <formula1>M160</formula1>
    </dataValidation>
    <dataValidation type="decimal" errorStyle="stop" operator="lessThanOrEqual" allowBlank="1" showDropDown="1" showInputMessage="0" showErrorMessage="1" error="Skor tidak boleh melebihi skor maksimum!" sqref="Q160">
      <formula1>P160</formula1>
    </dataValidation>
    <dataValidation type="decimal" errorStyle="stop" operator="lessThanOrEqual" allowBlank="1" showDropDown="1" showInputMessage="0" showErrorMessage="1" error="Skor tidak boleh melebihi skor maksimum!" sqref="E161">
      <formula1>D161</formula1>
    </dataValidation>
    <dataValidation type="decimal" errorStyle="stop" operator="lessThanOrEqual" allowBlank="1" showDropDown="1" showInputMessage="0" showErrorMessage="1" error="Skor tidak boleh melebihi skor maksimum!" sqref="H161">
      <formula1>G161</formula1>
    </dataValidation>
    <dataValidation type="decimal" errorStyle="stop" operator="lessThanOrEqual" allowBlank="1" showDropDown="1" showInputMessage="0" showErrorMessage="1" error="Skor tidak boleh melebihi skor maksimum!" sqref="K161">
      <formula1>J161</formula1>
    </dataValidation>
    <dataValidation type="decimal" errorStyle="stop" operator="lessThanOrEqual" allowBlank="1" showDropDown="1" showInputMessage="0" showErrorMessage="1" error="Skor tidak boleh melebihi skor maksimum!" sqref="N161">
      <formula1>M161</formula1>
    </dataValidation>
    <dataValidation type="decimal" errorStyle="stop" operator="lessThanOrEqual" allowBlank="1" showDropDown="1" showInputMessage="0" showErrorMessage="1" error="Skor tidak boleh melebihi skor maksimum!" sqref="Q161">
      <formula1>P161</formula1>
    </dataValidation>
    <dataValidation type="decimal" errorStyle="stop" operator="lessThanOrEqual" allowBlank="1" showDropDown="1" showInputMessage="0" showErrorMessage="1" error="Skor tidak boleh melebihi skor maksimum!" sqref="E162">
      <formula1>D162</formula1>
    </dataValidation>
    <dataValidation type="decimal" errorStyle="stop" operator="lessThanOrEqual" allowBlank="1" showDropDown="1" showInputMessage="0" showErrorMessage="1" error="Skor tidak boleh melebihi skor maksimum!" sqref="H162">
      <formula1>G162</formula1>
    </dataValidation>
    <dataValidation type="decimal" errorStyle="stop" operator="lessThanOrEqual" allowBlank="1" showDropDown="1" showInputMessage="0" showErrorMessage="1" error="Skor tidak boleh melebihi skor maksimum!" sqref="K162">
      <formula1>J162</formula1>
    </dataValidation>
    <dataValidation type="decimal" errorStyle="stop" operator="lessThanOrEqual" allowBlank="1" showDropDown="1" showInputMessage="0" showErrorMessage="1" error="Skor tidak boleh melebihi skor maksimum!" sqref="N162">
      <formula1>M162</formula1>
    </dataValidation>
    <dataValidation type="decimal" errorStyle="stop" operator="lessThanOrEqual" allowBlank="1" showDropDown="1" showInputMessage="0" showErrorMessage="1" error="Skor tidak boleh melebihi skor maksimum!" sqref="Q162">
      <formula1>P162</formula1>
    </dataValidation>
    <dataValidation type="decimal" errorStyle="stop" operator="lessThanOrEqual" allowBlank="1" showDropDown="1" showInputMessage="0" showErrorMessage="1" error="Skor tidak boleh melebihi skor maksimum!" sqref="E163">
      <formula1>D163</formula1>
    </dataValidation>
    <dataValidation type="decimal" errorStyle="stop" operator="lessThanOrEqual" allowBlank="1" showDropDown="1" showInputMessage="0" showErrorMessage="1" error="Skor tidak boleh melebihi skor maksimum!" sqref="H163">
      <formula1>G163</formula1>
    </dataValidation>
    <dataValidation type="decimal" errorStyle="stop" operator="lessThanOrEqual" allowBlank="1" showDropDown="1" showInputMessage="0" showErrorMessage="1" error="Skor tidak boleh melebihi skor maksimum!" sqref="K163">
      <formula1>J163</formula1>
    </dataValidation>
    <dataValidation type="decimal" errorStyle="stop" operator="lessThanOrEqual" allowBlank="1" showDropDown="1" showInputMessage="0" showErrorMessage="1" error="Skor tidak boleh melebihi skor maksimum!" sqref="N163">
      <formula1>M163</formula1>
    </dataValidation>
    <dataValidation type="decimal" errorStyle="stop" operator="lessThanOrEqual" allowBlank="1" showDropDown="1" showInputMessage="0" showErrorMessage="1" error="Skor tidak boleh melebihi skor maksimum!" sqref="Q163">
      <formula1>P163</formula1>
    </dataValidation>
    <dataValidation type="decimal" errorStyle="stop" operator="lessThanOrEqual" allowBlank="1" showDropDown="1" showInputMessage="0" showErrorMessage="1" error="Skor tidak boleh melebihi skor maksimum!" sqref="E164">
      <formula1>D164</formula1>
    </dataValidation>
    <dataValidation type="decimal" errorStyle="stop" operator="lessThanOrEqual" allowBlank="1" showDropDown="1" showInputMessage="0" showErrorMessage="1" error="Skor tidak boleh melebihi skor maksimum!" sqref="H164">
      <formula1>G164</formula1>
    </dataValidation>
    <dataValidation type="decimal" errorStyle="stop" operator="lessThanOrEqual" allowBlank="1" showDropDown="1" showInputMessage="0" showErrorMessage="1" error="Skor tidak boleh melebihi skor maksimum!" sqref="K164">
      <formula1>J164</formula1>
    </dataValidation>
    <dataValidation type="decimal" errorStyle="stop" operator="lessThanOrEqual" allowBlank="1" showDropDown="1" showInputMessage="0" showErrorMessage="1" error="Skor tidak boleh melebihi skor maksimum!" sqref="N164">
      <formula1>M164</formula1>
    </dataValidation>
    <dataValidation type="decimal" errorStyle="stop" operator="lessThanOrEqual" allowBlank="1" showDropDown="1" showInputMessage="0" showErrorMessage="1" error="Skor tidak boleh melebihi skor maksimum!" sqref="Q164">
      <formula1>P164</formula1>
    </dataValidation>
    <dataValidation type="decimal" errorStyle="stop" operator="lessThanOrEqual" allowBlank="1" showDropDown="1" showInputMessage="0" showErrorMessage="1" error="Skor tidak boleh melebihi skor maksimum!" sqref="E165">
      <formula1>D165</formula1>
    </dataValidation>
    <dataValidation type="decimal" errorStyle="stop" operator="lessThanOrEqual" allowBlank="1" showDropDown="1" showInputMessage="0" showErrorMessage="1" error="Skor tidak boleh melebihi skor maksimum!" sqref="H165">
      <formula1>G165</formula1>
    </dataValidation>
    <dataValidation type="decimal" errorStyle="stop" operator="lessThanOrEqual" allowBlank="1" showDropDown="1" showInputMessage="0" showErrorMessage="1" error="Skor tidak boleh melebihi skor maksimum!" sqref="K165">
      <formula1>J165</formula1>
    </dataValidation>
    <dataValidation type="decimal" errorStyle="stop" operator="lessThanOrEqual" allowBlank="1" showDropDown="1" showInputMessage="0" showErrorMessage="1" error="Skor tidak boleh melebihi skor maksimum!" sqref="N165">
      <formula1>M165</formula1>
    </dataValidation>
    <dataValidation type="decimal" errorStyle="stop" operator="lessThanOrEqual" allowBlank="1" showDropDown="1" showInputMessage="0" showErrorMessage="1" error="Skor tidak boleh melebihi skor maksimum!" sqref="Q165">
      <formula1>P165</formula1>
    </dataValidation>
    <dataValidation type="decimal" errorStyle="stop" operator="lessThanOrEqual" allowBlank="1" showDropDown="1" showInputMessage="0" showErrorMessage="1" error="Skor tidak boleh melebihi skor maksimum!" sqref="E166">
      <formula1>D166</formula1>
    </dataValidation>
    <dataValidation type="decimal" errorStyle="stop" operator="lessThanOrEqual" allowBlank="1" showDropDown="1" showInputMessage="0" showErrorMessage="1" error="Skor tidak boleh melebihi skor maksimum!" sqref="H166">
      <formula1>G166</formula1>
    </dataValidation>
    <dataValidation type="decimal" errorStyle="stop" operator="lessThanOrEqual" allowBlank="1" showDropDown="1" showInputMessage="0" showErrorMessage="1" error="Skor tidak boleh melebihi skor maksimum!" sqref="K166">
      <formula1>J166</formula1>
    </dataValidation>
    <dataValidation type="decimal" errorStyle="stop" operator="lessThanOrEqual" allowBlank="1" showDropDown="1" showInputMessage="0" showErrorMessage="1" error="Skor tidak boleh melebihi skor maksimum!" sqref="N166">
      <formula1>M166</formula1>
    </dataValidation>
    <dataValidation type="decimal" errorStyle="stop" operator="lessThanOrEqual" allowBlank="1" showDropDown="1" showInputMessage="0" showErrorMessage="1" error="Skor tidak boleh melebihi skor maksimum!" sqref="Q166">
      <formula1>P166</formula1>
    </dataValidation>
    <dataValidation type="decimal" errorStyle="stop" operator="lessThanOrEqual" allowBlank="1" showDropDown="1" showInputMessage="0" showErrorMessage="1" error="Skor tidak boleh melebihi skor maksimum!" sqref="E167">
      <formula1>D167</formula1>
    </dataValidation>
    <dataValidation type="decimal" errorStyle="stop" operator="lessThanOrEqual" allowBlank="1" showDropDown="1" showInputMessage="0" showErrorMessage="1" error="Skor tidak boleh melebihi skor maksimum!" sqref="H167">
      <formula1>G167</formula1>
    </dataValidation>
    <dataValidation type="decimal" errorStyle="stop" operator="lessThanOrEqual" allowBlank="1" showDropDown="1" showInputMessage="0" showErrorMessage="1" error="Skor tidak boleh melebihi skor maksimum!" sqref="K167">
      <formula1>J167</formula1>
    </dataValidation>
    <dataValidation type="decimal" errorStyle="stop" operator="lessThanOrEqual" allowBlank="1" showDropDown="1" showInputMessage="0" showErrorMessage="1" error="Skor tidak boleh melebihi skor maksimum!" sqref="N167">
      <formula1>M167</formula1>
    </dataValidation>
    <dataValidation type="decimal" errorStyle="stop" operator="lessThanOrEqual" allowBlank="1" showDropDown="1" showInputMessage="0" showErrorMessage="1" error="Skor tidak boleh melebihi skor maksimum!" sqref="Q167">
      <formula1>P167</formula1>
    </dataValidation>
    <dataValidation type="decimal" errorStyle="stop" operator="lessThanOrEqual" allowBlank="1" showDropDown="1" showInputMessage="0" showErrorMessage="1" error="Skor tidak boleh melebihi skor maksimum!" sqref="E168">
      <formula1>D168</formula1>
    </dataValidation>
    <dataValidation type="decimal" errorStyle="stop" operator="lessThanOrEqual" allowBlank="1" showDropDown="1" showInputMessage="0" showErrorMessage="1" error="Skor tidak boleh melebihi skor maksimum!" sqref="H168">
      <formula1>G168</formula1>
    </dataValidation>
    <dataValidation type="decimal" errorStyle="stop" operator="lessThanOrEqual" allowBlank="1" showDropDown="1" showInputMessage="0" showErrorMessage="1" error="Skor tidak boleh melebihi skor maksimum!" sqref="K168">
      <formula1>J168</formula1>
    </dataValidation>
    <dataValidation type="decimal" errorStyle="stop" operator="lessThanOrEqual" allowBlank="1" showDropDown="1" showInputMessage="0" showErrorMessage="1" error="Skor tidak boleh melebihi skor maksimum!" sqref="N168">
      <formula1>M168</formula1>
    </dataValidation>
    <dataValidation type="decimal" errorStyle="stop" operator="lessThanOrEqual" allowBlank="1" showDropDown="1" showInputMessage="0" showErrorMessage="1" error="Skor tidak boleh melebihi skor maksimum!" sqref="Q168">
      <formula1>P168</formula1>
    </dataValidation>
    <dataValidation type="decimal" errorStyle="stop" operator="lessThanOrEqual" allowBlank="1" showDropDown="1" showInputMessage="0" showErrorMessage="1" error="Skor tidak boleh melebihi skor maksimum!" sqref="E169">
      <formula1>D169</formula1>
    </dataValidation>
    <dataValidation type="decimal" errorStyle="stop" operator="lessThanOrEqual" allowBlank="1" showDropDown="1" showInputMessage="0" showErrorMessage="1" error="Skor tidak boleh melebihi skor maksimum!" sqref="H169">
      <formula1>G169</formula1>
    </dataValidation>
    <dataValidation type="decimal" errorStyle="stop" operator="lessThanOrEqual" allowBlank="1" showDropDown="1" showInputMessage="0" showErrorMessage="1" error="Skor tidak boleh melebihi skor maksimum!" sqref="K169">
      <formula1>J169</formula1>
    </dataValidation>
    <dataValidation type="decimal" errorStyle="stop" operator="lessThanOrEqual" allowBlank="1" showDropDown="1" showInputMessage="0" showErrorMessage="1" error="Skor tidak boleh melebihi skor maksimum!" sqref="N169">
      <formula1>M169</formula1>
    </dataValidation>
    <dataValidation type="decimal" errorStyle="stop" operator="lessThanOrEqual" allowBlank="1" showDropDown="1" showInputMessage="0" showErrorMessage="1" error="Skor tidak boleh melebihi skor maksimum!" sqref="Q169">
      <formula1>P169</formula1>
    </dataValidation>
    <dataValidation type="decimal" errorStyle="stop" operator="lessThanOrEqual" allowBlank="1" showDropDown="1" showInputMessage="0" showErrorMessage="1" error="Skor tidak boleh melebihi skor maksimum!" sqref="E170">
      <formula1>D170</formula1>
    </dataValidation>
    <dataValidation type="decimal" errorStyle="stop" operator="lessThanOrEqual" allowBlank="1" showDropDown="1" showInputMessage="0" showErrorMessage="1" error="Skor tidak boleh melebihi skor maksimum!" sqref="H170">
      <formula1>G170</formula1>
    </dataValidation>
    <dataValidation type="decimal" errorStyle="stop" operator="lessThanOrEqual" allowBlank="1" showDropDown="1" showInputMessage="0" showErrorMessage="1" error="Skor tidak boleh melebihi skor maksimum!" sqref="K170">
      <formula1>J170</formula1>
    </dataValidation>
    <dataValidation type="decimal" errorStyle="stop" operator="lessThanOrEqual" allowBlank="1" showDropDown="1" showInputMessage="0" showErrorMessage="1" error="Skor tidak boleh melebihi skor maksimum!" sqref="N170">
      <formula1>M170</formula1>
    </dataValidation>
    <dataValidation type="decimal" errorStyle="stop" operator="lessThanOrEqual" allowBlank="1" showDropDown="1" showInputMessage="0" showErrorMessage="1" error="Skor tidak boleh melebihi skor maksimum!" sqref="Q170">
      <formula1>P170</formula1>
    </dataValidation>
    <dataValidation type="decimal" errorStyle="stop" operator="lessThanOrEqual" allowBlank="1" showDropDown="1" showInputMessage="0" showErrorMessage="1" error="Skor tidak boleh melebihi skor maksimum!" sqref="E171">
      <formula1>D171</formula1>
    </dataValidation>
    <dataValidation type="decimal" errorStyle="stop" operator="lessThanOrEqual" allowBlank="1" showDropDown="1" showInputMessage="0" showErrorMessage="1" error="Skor tidak boleh melebihi skor maksimum!" sqref="H171">
      <formula1>G171</formula1>
    </dataValidation>
    <dataValidation type="decimal" errorStyle="stop" operator="lessThanOrEqual" allowBlank="1" showDropDown="1" showInputMessage="0" showErrorMessage="1" error="Skor tidak boleh melebihi skor maksimum!" sqref="K171">
      <formula1>J171</formula1>
    </dataValidation>
    <dataValidation type="decimal" errorStyle="stop" operator="lessThanOrEqual" allowBlank="1" showDropDown="1" showInputMessage="0" showErrorMessage="1" error="Skor tidak boleh melebihi skor maksimum!" sqref="N171">
      <formula1>M171</formula1>
    </dataValidation>
    <dataValidation type="decimal" errorStyle="stop" operator="lessThanOrEqual" allowBlank="1" showDropDown="1" showInputMessage="0" showErrorMessage="1" error="Skor tidak boleh melebihi skor maksimum!" sqref="Q171">
      <formula1>P171</formula1>
    </dataValidation>
    <dataValidation type="decimal" errorStyle="stop" operator="lessThanOrEqual" allowBlank="1" showDropDown="1" showInputMessage="0" showErrorMessage="1" error="Skor tidak boleh melebihi skor maksimum!" sqref="E172">
      <formula1>D172</formula1>
    </dataValidation>
    <dataValidation type="decimal" errorStyle="stop" operator="lessThanOrEqual" allowBlank="1" showDropDown="1" showInputMessage="0" showErrorMessage="1" error="Skor tidak boleh melebihi skor maksimum!" sqref="H172">
      <formula1>G172</formula1>
    </dataValidation>
    <dataValidation type="decimal" errorStyle="stop" operator="lessThanOrEqual" allowBlank="1" showDropDown="1" showInputMessage="0" showErrorMessage="1" error="Skor tidak boleh melebihi skor maksimum!" sqref="K172">
      <formula1>J172</formula1>
    </dataValidation>
    <dataValidation type="decimal" errorStyle="stop" operator="lessThanOrEqual" allowBlank="1" showDropDown="1" showInputMessage="0" showErrorMessage="1" error="Skor tidak boleh melebihi skor maksimum!" sqref="N172">
      <formula1>M172</formula1>
    </dataValidation>
    <dataValidation type="decimal" errorStyle="stop" operator="lessThanOrEqual" allowBlank="1" showDropDown="1" showInputMessage="0" showErrorMessage="1" error="Skor tidak boleh melebihi skor maksimum!" sqref="Q172">
      <formula1>P172</formula1>
    </dataValidation>
    <dataValidation type="decimal" errorStyle="stop" operator="lessThanOrEqual" allowBlank="1" showDropDown="1" showInputMessage="0" showErrorMessage="1" error="Skor tidak boleh melebihi skor maksimum!" sqref="E173">
      <formula1>D173</formula1>
    </dataValidation>
    <dataValidation type="decimal" errorStyle="stop" operator="lessThanOrEqual" allowBlank="1" showDropDown="1" showInputMessage="0" showErrorMessage="1" error="Skor tidak boleh melebihi skor maksimum!" sqref="H173">
      <formula1>G173</formula1>
    </dataValidation>
    <dataValidation type="decimal" errorStyle="stop" operator="lessThanOrEqual" allowBlank="1" showDropDown="1" showInputMessage="0" showErrorMessage="1" error="Skor tidak boleh melebihi skor maksimum!" sqref="K173">
      <formula1>J173</formula1>
    </dataValidation>
    <dataValidation type="decimal" errorStyle="stop" operator="lessThanOrEqual" allowBlank="1" showDropDown="1" showInputMessage="0" showErrorMessage="1" error="Skor tidak boleh melebihi skor maksimum!" sqref="N173">
      <formula1>M173</formula1>
    </dataValidation>
    <dataValidation type="decimal" errorStyle="stop" operator="lessThanOrEqual" allowBlank="1" showDropDown="1" showInputMessage="0" showErrorMessage="1" error="Skor tidak boleh melebihi skor maksimum!" sqref="Q173">
      <formula1>P173</formula1>
    </dataValidation>
    <dataValidation type="decimal" errorStyle="stop" operator="lessThanOrEqual" allowBlank="1" showDropDown="1" showInputMessage="0" showErrorMessage="1" error="Skor tidak boleh melebihi skor maksimum!" sqref="E174">
      <formula1>D174</formula1>
    </dataValidation>
    <dataValidation type="decimal" errorStyle="stop" operator="lessThanOrEqual" allowBlank="1" showDropDown="1" showInputMessage="0" showErrorMessage="1" error="Skor tidak boleh melebihi skor maksimum!" sqref="H174">
      <formula1>G174</formula1>
    </dataValidation>
    <dataValidation type="decimal" errorStyle="stop" operator="lessThanOrEqual" allowBlank="1" showDropDown="1" showInputMessage="0" showErrorMessage="1" error="Skor tidak boleh melebihi skor maksimum!" sqref="K174">
      <formula1>J174</formula1>
    </dataValidation>
    <dataValidation type="decimal" errorStyle="stop" operator="lessThanOrEqual" allowBlank="1" showDropDown="1" showInputMessage="0" showErrorMessage="1" error="Skor tidak boleh melebihi skor maksimum!" sqref="N174">
      <formula1>M174</formula1>
    </dataValidation>
    <dataValidation type="decimal" errorStyle="stop" operator="lessThanOrEqual" allowBlank="1" showDropDown="1" showInputMessage="0" showErrorMessage="1" error="Skor tidak boleh melebihi skor maksimum!" sqref="Q174">
      <formula1>P174</formula1>
    </dataValidation>
    <dataValidation type="decimal" errorStyle="stop" operator="lessThanOrEqual" allowBlank="1" showDropDown="1" showInputMessage="0" showErrorMessage="1" error="Skor tidak boleh melebihi skor maksimum!" sqref="E175">
      <formula1>D175</formula1>
    </dataValidation>
    <dataValidation type="decimal" errorStyle="stop" operator="lessThanOrEqual" allowBlank="1" showDropDown="1" showInputMessage="0" showErrorMessage="1" error="Skor tidak boleh melebihi skor maksimum!" sqref="H175">
      <formula1>G175</formula1>
    </dataValidation>
    <dataValidation type="decimal" errorStyle="stop" operator="lessThanOrEqual" allowBlank="1" showDropDown="1" showInputMessage="0" showErrorMessage="1" error="Skor tidak boleh melebihi skor maksimum!" sqref="K175">
      <formula1>J175</formula1>
    </dataValidation>
    <dataValidation type="decimal" errorStyle="stop" operator="lessThanOrEqual" allowBlank="1" showDropDown="1" showInputMessage="0" showErrorMessage="1" error="Skor tidak boleh melebihi skor maksimum!" sqref="N175">
      <formula1>M175</formula1>
    </dataValidation>
    <dataValidation type="decimal" errorStyle="stop" operator="lessThanOrEqual" allowBlank="1" showDropDown="1" showInputMessage="0" showErrorMessage="1" error="Skor tidak boleh melebihi skor maksimum!" sqref="Q175">
      <formula1>P175</formula1>
    </dataValidation>
    <dataValidation type="decimal" errorStyle="stop" operator="lessThanOrEqual" allowBlank="1" showDropDown="1" showInputMessage="0" showErrorMessage="1" error="Skor tidak boleh melebihi skor maksimum!" sqref="E176">
      <formula1>D176</formula1>
    </dataValidation>
    <dataValidation type="decimal" errorStyle="stop" operator="lessThanOrEqual" allowBlank="1" showDropDown="1" showInputMessage="0" showErrorMessage="1" error="Skor tidak boleh melebihi skor maksimum!" sqref="H176">
      <formula1>G176</formula1>
    </dataValidation>
    <dataValidation type="decimal" errorStyle="stop" operator="lessThanOrEqual" allowBlank="1" showDropDown="1" showInputMessage="0" showErrorMessage="1" error="Skor tidak boleh melebihi skor maksimum!" sqref="K176">
      <formula1>J176</formula1>
    </dataValidation>
    <dataValidation type="decimal" errorStyle="stop" operator="lessThanOrEqual" allowBlank="1" showDropDown="1" showInputMessage="0" showErrorMessage="1" error="Skor tidak boleh melebihi skor maksimum!" sqref="N176">
      <formula1>M176</formula1>
    </dataValidation>
    <dataValidation type="decimal" errorStyle="stop" operator="lessThanOrEqual" allowBlank="1" showDropDown="1" showInputMessage="0" showErrorMessage="1" error="Skor tidak boleh melebihi skor maksimum!" sqref="Q176">
      <formula1>P176</formula1>
    </dataValidation>
    <dataValidation type="decimal" errorStyle="stop" operator="lessThanOrEqual" allowBlank="1" showDropDown="1" showInputMessage="0" showErrorMessage="1" error="Skor tidak boleh melebihi skor maksimum!" sqref="E177">
      <formula1>D177</formula1>
    </dataValidation>
    <dataValidation type="decimal" errorStyle="stop" operator="lessThanOrEqual" allowBlank="1" showDropDown="1" showInputMessage="0" showErrorMessage="1" error="Skor tidak boleh melebihi skor maksimum!" sqref="H177">
      <formula1>G177</formula1>
    </dataValidation>
    <dataValidation type="decimal" errorStyle="stop" operator="lessThanOrEqual" allowBlank="1" showDropDown="1" showInputMessage="0" showErrorMessage="1" error="Skor tidak boleh melebihi skor maksimum!" sqref="K177">
      <formula1>J177</formula1>
    </dataValidation>
    <dataValidation type="decimal" errorStyle="stop" operator="lessThanOrEqual" allowBlank="1" showDropDown="1" showInputMessage="0" showErrorMessage="1" error="Skor tidak boleh melebihi skor maksimum!" sqref="N177">
      <formula1>M177</formula1>
    </dataValidation>
    <dataValidation type="decimal" errorStyle="stop" operator="lessThanOrEqual" allowBlank="1" showDropDown="1" showInputMessage="0" showErrorMessage="1" error="Skor tidak boleh melebihi skor maksimum!" sqref="Q177">
      <formula1>P177</formula1>
    </dataValidation>
    <dataValidation type="decimal" errorStyle="stop" operator="lessThanOrEqual" allowBlank="1" showDropDown="1" showInputMessage="0" showErrorMessage="1" error="Skor tidak boleh melebihi skor maksimum!" sqref="E178">
      <formula1>D178</formula1>
    </dataValidation>
    <dataValidation type="decimal" errorStyle="stop" operator="lessThanOrEqual" allowBlank="1" showDropDown="1" showInputMessage="0" showErrorMessage="1" error="Skor tidak boleh melebihi skor maksimum!" sqref="H178">
      <formula1>G178</formula1>
    </dataValidation>
    <dataValidation type="decimal" errorStyle="stop" operator="lessThanOrEqual" allowBlank="1" showDropDown="1" showInputMessage="0" showErrorMessage="1" error="Skor tidak boleh melebihi skor maksimum!" sqref="K178">
      <formula1>J178</formula1>
    </dataValidation>
    <dataValidation type="decimal" errorStyle="stop" operator="lessThanOrEqual" allowBlank="1" showDropDown="1" showInputMessage="0" showErrorMessage="1" error="Skor tidak boleh melebihi skor maksimum!" sqref="N178">
      <formula1>M178</formula1>
    </dataValidation>
    <dataValidation type="decimal" errorStyle="stop" operator="lessThanOrEqual" allowBlank="1" showDropDown="1" showInputMessage="0" showErrorMessage="1" error="Skor tidak boleh melebihi skor maksimum!" sqref="Q178">
      <formula1>P178</formula1>
    </dataValidation>
    <dataValidation type="decimal" errorStyle="stop" operator="lessThanOrEqual" allowBlank="1" showDropDown="1" showInputMessage="0" showErrorMessage="1" error="Skor tidak boleh melebihi skor maksimum!" sqref="E179">
      <formula1>D179</formula1>
    </dataValidation>
    <dataValidation type="decimal" errorStyle="stop" operator="lessThanOrEqual" allowBlank="1" showDropDown="1" showInputMessage="0" showErrorMessage="1" error="Skor tidak boleh melebihi skor maksimum!" sqref="H179">
      <formula1>G179</formula1>
    </dataValidation>
    <dataValidation type="decimal" errorStyle="stop" operator="lessThanOrEqual" allowBlank="1" showDropDown="1" showInputMessage="0" showErrorMessage="1" error="Skor tidak boleh melebihi skor maksimum!" sqref="K179">
      <formula1>J179</formula1>
    </dataValidation>
    <dataValidation type="decimal" errorStyle="stop" operator="lessThanOrEqual" allowBlank="1" showDropDown="1" showInputMessage="0" showErrorMessage="1" error="Skor tidak boleh melebihi skor maksimum!" sqref="N179">
      <formula1>M179</formula1>
    </dataValidation>
    <dataValidation type="decimal" errorStyle="stop" operator="lessThanOrEqual" allowBlank="1" showDropDown="1" showInputMessage="0" showErrorMessage="1" error="Skor tidak boleh melebihi skor maksimum!" sqref="Q179">
      <formula1>P179</formula1>
    </dataValidation>
    <dataValidation type="decimal" errorStyle="stop" operator="lessThanOrEqual" allowBlank="1" showDropDown="1" showInputMessage="0" showErrorMessage="1" error="Skor tidak boleh melebihi skor maksimum!" sqref="E180">
      <formula1>D180</formula1>
    </dataValidation>
    <dataValidation type="decimal" errorStyle="stop" operator="lessThanOrEqual" allowBlank="1" showDropDown="1" showInputMessage="0" showErrorMessage="1" error="Skor tidak boleh melebihi skor maksimum!" sqref="H180">
      <formula1>G180</formula1>
    </dataValidation>
    <dataValidation type="decimal" errorStyle="stop" operator="lessThanOrEqual" allowBlank="1" showDropDown="1" showInputMessage="0" showErrorMessage="1" error="Skor tidak boleh melebihi skor maksimum!" sqref="K180">
      <formula1>J180</formula1>
    </dataValidation>
    <dataValidation type="decimal" errorStyle="stop" operator="lessThanOrEqual" allowBlank="1" showDropDown="1" showInputMessage="0" showErrorMessage="1" error="Skor tidak boleh melebihi skor maksimum!" sqref="N180">
      <formula1>M180</formula1>
    </dataValidation>
    <dataValidation type="decimal" errorStyle="stop" operator="lessThanOrEqual" allowBlank="1" showDropDown="1" showInputMessage="0" showErrorMessage="1" error="Skor tidak boleh melebihi skor maksimum!" sqref="Q180">
      <formula1>P180</formula1>
    </dataValidation>
    <dataValidation type="decimal" errorStyle="stop" operator="lessThanOrEqual" allowBlank="1" showDropDown="1" showInputMessage="0" showErrorMessage="1" error="Skor tidak boleh melebihi skor maksimum!" sqref="E181">
      <formula1>D181</formula1>
    </dataValidation>
    <dataValidation type="decimal" errorStyle="stop" operator="lessThanOrEqual" allowBlank="1" showDropDown="1" showInputMessage="0" showErrorMessage="1" error="Skor tidak boleh melebihi skor maksimum!" sqref="H181">
      <formula1>G181</formula1>
    </dataValidation>
    <dataValidation type="decimal" errorStyle="stop" operator="lessThanOrEqual" allowBlank="1" showDropDown="1" showInputMessage="0" showErrorMessage="1" error="Skor tidak boleh melebihi skor maksimum!" sqref="K181">
      <formula1>J181</formula1>
    </dataValidation>
    <dataValidation type="decimal" errorStyle="stop" operator="lessThanOrEqual" allowBlank="1" showDropDown="1" showInputMessage="0" showErrorMessage="1" error="Skor tidak boleh melebihi skor maksimum!" sqref="N181">
      <formula1>M181</formula1>
    </dataValidation>
    <dataValidation type="decimal" errorStyle="stop" operator="lessThanOrEqual" allowBlank="1" showDropDown="1" showInputMessage="0" showErrorMessage="1" error="Skor tidak boleh melebihi skor maksimum!" sqref="Q181">
      <formula1>P181</formula1>
    </dataValidation>
    <dataValidation type="decimal" errorStyle="stop" operator="lessThanOrEqual" allowBlank="1" showDropDown="1" showInputMessage="0" showErrorMessage="1" error="Skor tidak boleh melebihi skor maksimum!" sqref="E182">
      <formula1>D182</formula1>
    </dataValidation>
    <dataValidation type="decimal" errorStyle="stop" operator="lessThanOrEqual" allowBlank="1" showDropDown="1" showInputMessage="0" showErrorMessage="1" error="Skor tidak boleh melebihi skor maksimum!" sqref="H182">
      <formula1>G182</formula1>
    </dataValidation>
    <dataValidation type="decimal" errorStyle="stop" operator="lessThanOrEqual" allowBlank="1" showDropDown="1" showInputMessage="0" showErrorMessage="1" error="Skor tidak boleh melebihi skor maksimum!" sqref="K182">
      <formula1>J182</formula1>
    </dataValidation>
    <dataValidation type="decimal" errorStyle="stop" operator="lessThanOrEqual" allowBlank="1" showDropDown="1" showInputMessage="0" showErrorMessage="1" error="Skor tidak boleh melebihi skor maksimum!" sqref="N182">
      <formula1>M182</formula1>
    </dataValidation>
    <dataValidation type="decimal" errorStyle="stop" operator="lessThanOrEqual" allowBlank="1" showDropDown="1" showInputMessage="0" showErrorMessage="1" error="Skor tidak boleh melebihi skor maksimum!" sqref="Q182">
      <formula1>P182</formula1>
    </dataValidation>
    <dataValidation type="decimal" errorStyle="stop" operator="lessThanOrEqual" allowBlank="1" showDropDown="1" showInputMessage="0" showErrorMessage="1" error="Skor tidak boleh melebihi skor maksimum!" sqref="E183">
      <formula1>D183</formula1>
    </dataValidation>
    <dataValidation type="decimal" errorStyle="stop" operator="lessThanOrEqual" allowBlank="1" showDropDown="1" showInputMessage="0" showErrorMessage="1" error="Skor tidak boleh melebihi skor maksimum!" sqref="H183">
      <formula1>G183</formula1>
    </dataValidation>
    <dataValidation type="decimal" errorStyle="stop" operator="lessThanOrEqual" allowBlank="1" showDropDown="1" showInputMessage="0" showErrorMessage="1" error="Skor tidak boleh melebihi skor maksimum!" sqref="K183">
      <formula1>J183</formula1>
    </dataValidation>
    <dataValidation type="decimal" errorStyle="stop" operator="lessThanOrEqual" allowBlank="1" showDropDown="1" showInputMessage="0" showErrorMessage="1" error="Skor tidak boleh melebihi skor maksimum!" sqref="N183">
      <formula1>M183</formula1>
    </dataValidation>
    <dataValidation type="decimal" errorStyle="stop" operator="lessThanOrEqual" allowBlank="1" showDropDown="1" showInputMessage="0" showErrorMessage="1" error="Skor tidak boleh melebihi skor maksimum!" sqref="Q183">
      <formula1>P183</formula1>
    </dataValidation>
    <dataValidation type="decimal" errorStyle="stop" operator="lessThanOrEqual" allowBlank="1" showDropDown="1" showInputMessage="0" showErrorMessage="1" error="Skor tidak boleh melebihi skor maksimum!" sqref="E184">
      <formula1>D184</formula1>
    </dataValidation>
    <dataValidation type="decimal" errorStyle="stop" operator="lessThanOrEqual" allowBlank="1" showDropDown="1" showInputMessage="0" showErrorMessage="1" error="Skor tidak boleh melebihi skor maksimum!" sqref="H184">
      <formula1>G184</formula1>
    </dataValidation>
    <dataValidation type="decimal" errorStyle="stop" operator="lessThanOrEqual" allowBlank="1" showDropDown="1" showInputMessage="0" showErrorMessage="1" error="Skor tidak boleh melebihi skor maksimum!" sqref="K184">
      <formula1>J184</formula1>
    </dataValidation>
    <dataValidation type="decimal" errorStyle="stop" operator="lessThanOrEqual" allowBlank="1" showDropDown="1" showInputMessage="0" showErrorMessage="1" error="Skor tidak boleh melebihi skor maksimum!" sqref="N184">
      <formula1>M184</formula1>
    </dataValidation>
    <dataValidation type="decimal" errorStyle="stop" operator="lessThanOrEqual" allowBlank="1" showDropDown="1" showInputMessage="0" showErrorMessage="1" error="Skor tidak boleh melebihi skor maksimum!" sqref="Q184">
      <formula1>P184</formula1>
    </dataValidation>
    <dataValidation type="decimal" errorStyle="stop" operator="lessThanOrEqual" allowBlank="1" showDropDown="1" showInputMessage="0" showErrorMessage="1" error="Skor tidak boleh melebihi skor maksimum!" sqref="E185">
      <formula1>D185</formula1>
    </dataValidation>
    <dataValidation type="decimal" errorStyle="stop" operator="lessThanOrEqual" allowBlank="1" showDropDown="1" showInputMessage="0" showErrorMessage="1" error="Skor tidak boleh melebihi skor maksimum!" sqref="H185">
      <formula1>G185</formula1>
    </dataValidation>
    <dataValidation type="decimal" errorStyle="stop" operator="lessThanOrEqual" allowBlank="1" showDropDown="1" showInputMessage="0" showErrorMessage="1" error="Skor tidak boleh melebihi skor maksimum!" sqref="K185">
      <formula1>J185</formula1>
    </dataValidation>
    <dataValidation type="decimal" errorStyle="stop" operator="lessThanOrEqual" allowBlank="1" showDropDown="1" showInputMessage="0" showErrorMessage="1" error="Skor tidak boleh melebihi skor maksimum!" sqref="N185">
      <formula1>M185</formula1>
    </dataValidation>
    <dataValidation type="decimal" errorStyle="stop" operator="lessThanOrEqual" allowBlank="1" showDropDown="1" showInputMessage="0" showErrorMessage="1" error="Skor tidak boleh melebihi skor maksimum!" sqref="Q185">
      <formula1>P185</formula1>
    </dataValidation>
    <dataValidation type="decimal" errorStyle="stop" operator="lessThanOrEqual" allowBlank="1" showDropDown="1" showInputMessage="0" showErrorMessage="1" error="Skor tidak boleh melebihi skor maksimum!" sqref="E186">
      <formula1>D186</formula1>
    </dataValidation>
    <dataValidation type="decimal" errorStyle="stop" operator="lessThanOrEqual" allowBlank="1" showDropDown="1" showInputMessage="0" showErrorMessage="1" error="Skor tidak boleh melebihi skor maksimum!" sqref="H186">
      <formula1>G186</formula1>
    </dataValidation>
    <dataValidation type="decimal" errorStyle="stop" operator="lessThanOrEqual" allowBlank="1" showDropDown="1" showInputMessage="0" showErrorMessage="1" error="Skor tidak boleh melebihi skor maksimum!" sqref="K186">
      <formula1>J186</formula1>
    </dataValidation>
    <dataValidation type="decimal" errorStyle="stop" operator="lessThanOrEqual" allowBlank="1" showDropDown="1" showInputMessage="0" showErrorMessage="1" error="Skor tidak boleh melebihi skor maksimum!" sqref="N186">
      <formula1>M186</formula1>
    </dataValidation>
    <dataValidation type="decimal" errorStyle="stop" operator="lessThanOrEqual" allowBlank="1" showDropDown="1" showInputMessage="0" showErrorMessage="1" error="Skor tidak boleh melebihi skor maksimum!" sqref="Q186">
      <formula1>P186</formula1>
    </dataValidation>
    <dataValidation type="decimal" errorStyle="stop" operator="lessThanOrEqual" allowBlank="1" showDropDown="1" showInputMessage="0" showErrorMessage="1" error="Skor tidak boleh melebihi skor maksimum!" sqref="E187">
      <formula1>D187</formula1>
    </dataValidation>
    <dataValidation type="decimal" errorStyle="stop" operator="lessThanOrEqual" allowBlank="1" showDropDown="1" showInputMessage="0" showErrorMessage="1" error="Skor tidak boleh melebihi skor maksimum!" sqref="H187">
      <formula1>G187</formula1>
    </dataValidation>
    <dataValidation type="decimal" errorStyle="stop" operator="lessThanOrEqual" allowBlank="1" showDropDown="1" showInputMessage="0" showErrorMessage="1" error="Skor tidak boleh melebihi skor maksimum!" sqref="K187">
      <formula1>J187</formula1>
    </dataValidation>
    <dataValidation type="decimal" errorStyle="stop" operator="lessThanOrEqual" allowBlank="1" showDropDown="1" showInputMessage="0" showErrorMessage="1" error="Skor tidak boleh melebihi skor maksimum!" sqref="N187">
      <formula1>M187</formula1>
    </dataValidation>
    <dataValidation type="decimal" errorStyle="stop" operator="lessThanOrEqual" allowBlank="1" showDropDown="1" showInputMessage="0" showErrorMessage="1" error="Skor tidak boleh melebihi skor maksimum!" sqref="Q187">
      <formula1>P187</formula1>
    </dataValidation>
    <dataValidation type="decimal" errorStyle="stop" operator="lessThanOrEqual" allowBlank="1" showDropDown="1" showInputMessage="0" showErrorMessage="1" error="Skor tidak boleh melebihi skor maksimum!" sqref="E188">
      <formula1>D188</formula1>
    </dataValidation>
    <dataValidation type="decimal" errorStyle="stop" operator="lessThanOrEqual" allowBlank="1" showDropDown="1" showInputMessage="0" showErrorMessage="1" error="Skor tidak boleh melebihi skor maksimum!" sqref="H188">
      <formula1>G188</formula1>
    </dataValidation>
    <dataValidation type="decimal" errorStyle="stop" operator="lessThanOrEqual" allowBlank="1" showDropDown="1" showInputMessage="0" showErrorMessage="1" error="Skor tidak boleh melebihi skor maksimum!" sqref="K188">
      <formula1>J188</formula1>
    </dataValidation>
    <dataValidation type="decimal" errorStyle="stop" operator="lessThanOrEqual" allowBlank="1" showDropDown="1" showInputMessage="0" showErrorMessage="1" error="Skor tidak boleh melebihi skor maksimum!" sqref="N188">
      <formula1>M188</formula1>
    </dataValidation>
    <dataValidation type="decimal" errorStyle="stop" operator="lessThanOrEqual" allowBlank="1" showDropDown="1" showInputMessage="0" showErrorMessage="1" error="Skor tidak boleh melebihi skor maksimum!" sqref="Q188">
      <formula1>P188</formula1>
    </dataValidation>
    <dataValidation type="decimal" errorStyle="stop" operator="lessThanOrEqual" allowBlank="1" showDropDown="1" showInputMessage="0" showErrorMessage="1" error="Skor tidak boleh melebihi skor maksimum!" sqref="E189">
      <formula1>D189</formula1>
    </dataValidation>
    <dataValidation type="decimal" errorStyle="stop" operator="lessThanOrEqual" allowBlank="1" showDropDown="1" showInputMessage="0" showErrorMessage="1" error="Skor tidak boleh melebihi skor maksimum!" sqref="H189">
      <formula1>G189</formula1>
    </dataValidation>
    <dataValidation type="decimal" errorStyle="stop" operator="lessThanOrEqual" allowBlank="1" showDropDown="1" showInputMessage="0" showErrorMessage="1" error="Skor tidak boleh melebihi skor maksimum!" sqref="K189">
      <formula1>J189</formula1>
    </dataValidation>
    <dataValidation type="decimal" errorStyle="stop" operator="lessThanOrEqual" allowBlank="1" showDropDown="1" showInputMessage="0" showErrorMessage="1" error="Skor tidak boleh melebihi skor maksimum!" sqref="N189">
      <formula1>M189</formula1>
    </dataValidation>
    <dataValidation type="decimal" errorStyle="stop" operator="lessThanOrEqual" allowBlank="1" showDropDown="1" showInputMessage="0" showErrorMessage="1" error="Skor tidak boleh melebihi skor maksimum!" sqref="Q189">
      <formula1>P189</formula1>
    </dataValidation>
    <dataValidation type="decimal" errorStyle="stop" operator="lessThanOrEqual" allowBlank="1" showDropDown="1" showInputMessage="0" showErrorMessage="1" error="Skor tidak boleh melebihi skor maksimum!" sqref="E190">
      <formula1>D190</formula1>
    </dataValidation>
    <dataValidation type="decimal" errorStyle="stop" operator="lessThanOrEqual" allowBlank="1" showDropDown="1" showInputMessage="0" showErrorMessage="1" error="Skor tidak boleh melebihi skor maksimum!" sqref="H190">
      <formula1>G190</formula1>
    </dataValidation>
    <dataValidation type="decimal" errorStyle="stop" operator="lessThanOrEqual" allowBlank="1" showDropDown="1" showInputMessage="0" showErrorMessage="1" error="Skor tidak boleh melebihi skor maksimum!" sqref="K190">
      <formula1>J190</formula1>
    </dataValidation>
    <dataValidation type="decimal" errorStyle="stop" operator="lessThanOrEqual" allowBlank="1" showDropDown="1" showInputMessage="0" showErrorMessage="1" error="Skor tidak boleh melebihi skor maksimum!" sqref="N190">
      <formula1>M190</formula1>
    </dataValidation>
    <dataValidation type="decimal" errorStyle="stop" operator="lessThanOrEqual" allowBlank="1" showDropDown="1" showInputMessage="0" showErrorMessage="1" error="Skor tidak boleh melebihi skor maksimum!" sqref="Q190">
      <formula1>P190</formula1>
    </dataValidation>
    <dataValidation type="decimal" errorStyle="stop" operator="lessThanOrEqual" allowBlank="1" showDropDown="1" showInputMessage="0" showErrorMessage="1" error="Skor tidak boleh melebihi skor maksimum!" sqref="E191">
      <formula1>D191</formula1>
    </dataValidation>
    <dataValidation type="decimal" errorStyle="stop" operator="lessThanOrEqual" allowBlank="1" showDropDown="1" showInputMessage="0" showErrorMessage="1" error="Skor tidak boleh melebihi skor maksimum!" sqref="H191">
      <formula1>G191</formula1>
    </dataValidation>
    <dataValidation type="decimal" errorStyle="stop" operator="lessThanOrEqual" allowBlank="1" showDropDown="1" showInputMessage="0" showErrorMessage="1" error="Skor tidak boleh melebihi skor maksimum!" sqref="K191">
      <formula1>J191</formula1>
    </dataValidation>
    <dataValidation type="decimal" errorStyle="stop" operator="lessThanOrEqual" allowBlank="1" showDropDown="1" showInputMessage="0" showErrorMessage="1" error="Skor tidak boleh melebihi skor maksimum!" sqref="N191">
      <formula1>M191</formula1>
    </dataValidation>
    <dataValidation type="decimal" errorStyle="stop" operator="lessThanOrEqual" allowBlank="1" showDropDown="1" showInputMessage="0" showErrorMessage="1" error="Skor tidak boleh melebihi skor maksimum!" sqref="Q191">
      <formula1>P191</formula1>
    </dataValidation>
    <dataValidation type="decimal" errorStyle="stop" operator="lessThanOrEqual" allowBlank="1" showDropDown="1" showInputMessage="0" showErrorMessage="1" error="Skor tidak boleh melebihi skor maksimum!" sqref="E192">
      <formula1>D192</formula1>
    </dataValidation>
    <dataValidation type="decimal" errorStyle="stop" operator="lessThanOrEqual" allowBlank="1" showDropDown="1" showInputMessage="0" showErrorMessage="1" error="Skor tidak boleh melebihi skor maksimum!" sqref="H192">
      <formula1>G192</formula1>
    </dataValidation>
    <dataValidation type="decimal" errorStyle="stop" operator="lessThanOrEqual" allowBlank="1" showDropDown="1" showInputMessage="0" showErrorMessage="1" error="Skor tidak boleh melebihi skor maksimum!" sqref="K192">
      <formula1>J192</formula1>
    </dataValidation>
    <dataValidation type="decimal" errorStyle="stop" operator="lessThanOrEqual" allowBlank="1" showDropDown="1" showInputMessage="0" showErrorMessage="1" error="Skor tidak boleh melebihi skor maksimum!" sqref="N192">
      <formula1>M192</formula1>
    </dataValidation>
    <dataValidation type="decimal" errorStyle="stop" operator="lessThanOrEqual" allowBlank="1" showDropDown="1" showInputMessage="0" showErrorMessage="1" error="Skor tidak boleh melebihi skor maksimum!" sqref="Q192">
      <formula1>P192</formula1>
    </dataValidation>
    <dataValidation type="decimal" errorStyle="stop" operator="lessThanOrEqual" allowBlank="1" showDropDown="1" showInputMessage="0" showErrorMessage="1" error="Skor tidak boleh melebihi skor maksimum!" sqref="E193">
      <formula1>D193</formula1>
    </dataValidation>
    <dataValidation type="decimal" errorStyle="stop" operator="lessThanOrEqual" allowBlank="1" showDropDown="1" showInputMessage="0" showErrorMessage="1" error="Skor tidak boleh melebihi skor maksimum!" sqref="H193">
      <formula1>G193</formula1>
    </dataValidation>
    <dataValidation type="decimal" errorStyle="stop" operator="lessThanOrEqual" allowBlank="1" showDropDown="1" showInputMessage="0" showErrorMessage="1" error="Skor tidak boleh melebihi skor maksimum!" sqref="K193">
      <formula1>J193</formula1>
    </dataValidation>
    <dataValidation type="decimal" errorStyle="stop" operator="lessThanOrEqual" allowBlank="1" showDropDown="1" showInputMessage="0" showErrorMessage="1" error="Skor tidak boleh melebihi skor maksimum!" sqref="N193">
      <formula1>M193</formula1>
    </dataValidation>
    <dataValidation type="decimal" errorStyle="stop" operator="lessThanOrEqual" allowBlank="1" showDropDown="1" showInputMessage="0" showErrorMessage="1" error="Skor tidak boleh melebihi skor maksimum!" sqref="Q193">
      <formula1>P193</formula1>
    </dataValidation>
    <dataValidation type="decimal" errorStyle="stop" operator="lessThanOrEqual" allowBlank="1" showDropDown="1" showInputMessage="0" showErrorMessage="1" error="Skor tidak boleh melebihi skor maksimum!" sqref="E194">
      <formula1>D194</formula1>
    </dataValidation>
    <dataValidation type="decimal" errorStyle="stop" operator="lessThanOrEqual" allowBlank="1" showDropDown="1" showInputMessage="0" showErrorMessage="1" error="Skor tidak boleh melebihi skor maksimum!" sqref="H194">
      <formula1>G194</formula1>
    </dataValidation>
    <dataValidation type="decimal" errorStyle="stop" operator="lessThanOrEqual" allowBlank="1" showDropDown="1" showInputMessage="0" showErrorMessage="1" error="Skor tidak boleh melebihi skor maksimum!" sqref="K194">
      <formula1>J194</formula1>
    </dataValidation>
    <dataValidation type="decimal" errorStyle="stop" operator="lessThanOrEqual" allowBlank="1" showDropDown="1" showInputMessage="0" showErrorMessage="1" error="Skor tidak boleh melebihi skor maksimum!" sqref="N194">
      <formula1>M194</formula1>
    </dataValidation>
    <dataValidation type="decimal" errorStyle="stop" operator="lessThanOrEqual" allowBlank="1" showDropDown="1" showInputMessage="0" showErrorMessage="1" error="Skor tidak boleh melebihi skor maksimum!" sqref="Q194">
      <formula1>P194</formula1>
    </dataValidation>
    <dataValidation type="decimal" errorStyle="stop" operator="lessThanOrEqual" allowBlank="1" showDropDown="1" showInputMessage="0" showErrorMessage="1" error="Skor tidak boleh melebihi skor maksimum!" sqref="E195">
      <formula1>D195</formula1>
    </dataValidation>
    <dataValidation type="decimal" errorStyle="stop" operator="lessThanOrEqual" allowBlank="1" showDropDown="1" showInputMessage="0" showErrorMessage="1" error="Skor tidak boleh melebihi skor maksimum!" sqref="H195">
      <formula1>G195</formula1>
    </dataValidation>
    <dataValidation type="decimal" errorStyle="stop" operator="lessThanOrEqual" allowBlank="1" showDropDown="1" showInputMessage="0" showErrorMessage="1" error="Skor tidak boleh melebihi skor maksimum!" sqref="K195">
      <formula1>J195</formula1>
    </dataValidation>
    <dataValidation type="decimal" errorStyle="stop" operator="lessThanOrEqual" allowBlank="1" showDropDown="1" showInputMessage="0" showErrorMessage="1" error="Skor tidak boleh melebihi skor maksimum!" sqref="N195">
      <formula1>M195</formula1>
    </dataValidation>
    <dataValidation type="decimal" errorStyle="stop" operator="lessThanOrEqual" allowBlank="1" showDropDown="1" showInputMessage="0" showErrorMessage="1" error="Skor tidak boleh melebihi skor maksimum!" sqref="Q195">
      <formula1>P195</formula1>
    </dataValidation>
    <dataValidation type="decimal" errorStyle="stop" operator="lessThanOrEqual" allowBlank="1" showDropDown="1" showInputMessage="0" showErrorMessage="1" error="Skor tidak boleh melebihi skor maksimum!" sqref="E196">
      <formula1>D196</formula1>
    </dataValidation>
    <dataValidation type="decimal" errorStyle="stop" operator="lessThanOrEqual" allowBlank="1" showDropDown="1" showInputMessage="0" showErrorMessage="1" error="Skor tidak boleh melebihi skor maksimum!" sqref="H196">
      <formula1>G196</formula1>
    </dataValidation>
    <dataValidation type="decimal" errorStyle="stop" operator="lessThanOrEqual" allowBlank="1" showDropDown="1" showInputMessage="0" showErrorMessage="1" error="Skor tidak boleh melebihi skor maksimum!" sqref="K196">
      <formula1>J196</formula1>
    </dataValidation>
    <dataValidation type="decimal" errorStyle="stop" operator="lessThanOrEqual" allowBlank="1" showDropDown="1" showInputMessage="0" showErrorMessage="1" error="Skor tidak boleh melebihi skor maksimum!" sqref="N196">
      <formula1>M196</formula1>
    </dataValidation>
    <dataValidation type="decimal" errorStyle="stop" operator="lessThanOrEqual" allowBlank="1" showDropDown="1" showInputMessage="0" showErrorMessage="1" error="Skor tidak boleh melebihi skor maksimum!" sqref="Q196">
      <formula1>P196</formula1>
    </dataValidation>
    <dataValidation type="decimal" errorStyle="stop" operator="lessThanOrEqual" allowBlank="1" showDropDown="1" showInputMessage="0" showErrorMessage="1" error="Skor tidak boleh melebihi skor maksimum!" sqref="E197">
      <formula1>D197</formula1>
    </dataValidation>
    <dataValidation type="decimal" errorStyle="stop" operator="lessThanOrEqual" allowBlank="1" showDropDown="1" showInputMessage="0" showErrorMessage="1" error="Skor tidak boleh melebihi skor maksimum!" sqref="H197">
      <formula1>G197</formula1>
    </dataValidation>
    <dataValidation type="decimal" errorStyle="stop" operator="lessThanOrEqual" allowBlank="1" showDropDown="1" showInputMessage="0" showErrorMessage="1" error="Skor tidak boleh melebihi skor maksimum!" sqref="K197">
      <formula1>J197</formula1>
    </dataValidation>
    <dataValidation type="decimal" errorStyle="stop" operator="lessThanOrEqual" allowBlank="1" showDropDown="1" showInputMessage="0" showErrorMessage="1" error="Skor tidak boleh melebihi skor maksimum!" sqref="N197">
      <formula1>M197</formula1>
    </dataValidation>
    <dataValidation type="decimal" errorStyle="stop" operator="lessThanOrEqual" allowBlank="1" showDropDown="1" showInputMessage="0" showErrorMessage="1" error="Skor tidak boleh melebihi skor maksimum!" sqref="Q197">
      <formula1>P197</formula1>
    </dataValidation>
    <dataValidation type="decimal" errorStyle="stop" operator="lessThanOrEqual" allowBlank="1" showDropDown="1" showInputMessage="0" showErrorMessage="1" error="Skor tidak boleh melebihi skor maksimum!" sqref="E198">
      <formula1>D198</formula1>
    </dataValidation>
    <dataValidation type="decimal" errorStyle="stop" operator="lessThanOrEqual" allowBlank="1" showDropDown="1" showInputMessage="0" showErrorMessage="1" error="Skor tidak boleh melebihi skor maksimum!" sqref="H198">
      <formula1>G198</formula1>
    </dataValidation>
    <dataValidation type="decimal" errorStyle="stop" operator="lessThanOrEqual" allowBlank="1" showDropDown="1" showInputMessage="0" showErrorMessage="1" error="Skor tidak boleh melebihi skor maksimum!" sqref="K198">
      <formula1>J198</formula1>
    </dataValidation>
    <dataValidation type="decimal" errorStyle="stop" operator="lessThanOrEqual" allowBlank="1" showDropDown="1" showInputMessage="0" showErrorMessage="1" error="Skor tidak boleh melebihi skor maksimum!" sqref="N198">
      <formula1>M198</formula1>
    </dataValidation>
    <dataValidation type="decimal" errorStyle="stop" operator="lessThanOrEqual" allowBlank="1" showDropDown="1" showInputMessage="0" showErrorMessage="1" error="Skor tidak boleh melebihi skor maksimum!" sqref="Q198">
      <formula1>P198</formula1>
    </dataValidation>
    <dataValidation type="decimal" errorStyle="stop" operator="lessThanOrEqual" allowBlank="1" showDropDown="1" showInputMessage="0" showErrorMessage="1" error="Skor tidak boleh melebihi skor maksimum!" sqref="E199">
      <formula1>D199</formula1>
    </dataValidation>
    <dataValidation type="decimal" errorStyle="stop" operator="lessThanOrEqual" allowBlank="1" showDropDown="1" showInputMessage="0" showErrorMessage="1" error="Skor tidak boleh melebihi skor maksimum!" sqref="H199">
      <formula1>G199</formula1>
    </dataValidation>
    <dataValidation type="decimal" errorStyle="stop" operator="lessThanOrEqual" allowBlank="1" showDropDown="1" showInputMessage="0" showErrorMessage="1" error="Skor tidak boleh melebihi skor maksimum!" sqref="K199">
      <formula1>J199</formula1>
    </dataValidation>
    <dataValidation type="decimal" errorStyle="stop" operator="lessThanOrEqual" allowBlank="1" showDropDown="1" showInputMessage="0" showErrorMessage="1" error="Skor tidak boleh melebihi skor maksimum!" sqref="N199">
      <formula1>M199</formula1>
    </dataValidation>
    <dataValidation type="decimal" errorStyle="stop" operator="lessThanOrEqual" allowBlank="1" showDropDown="1" showInputMessage="0" showErrorMessage="1" error="Skor tidak boleh melebihi skor maksimum!" sqref="Q199">
      <formula1>P199</formula1>
    </dataValidation>
    <dataValidation type="decimal" errorStyle="stop" operator="lessThanOrEqual" allowBlank="1" showDropDown="1" showInputMessage="0" showErrorMessage="1" error="Skor tidak boleh melebihi skor maksimum!" sqref="E200">
      <formula1>D200</formula1>
    </dataValidation>
    <dataValidation type="decimal" errorStyle="stop" operator="lessThanOrEqual" allowBlank="1" showDropDown="1" showInputMessage="0" showErrorMessage="1" error="Skor tidak boleh melebihi skor maksimum!" sqref="H200">
      <formula1>G200</formula1>
    </dataValidation>
    <dataValidation type="decimal" errorStyle="stop" operator="lessThanOrEqual" allowBlank="1" showDropDown="1" showInputMessage="0" showErrorMessage="1" error="Skor tidak boleh melebihi skor maksimum!" sqref="K200">
      <formula1>J200</formula1>
    </dataValidation>
    <dataValidation type="decimal" errorStyle="stop" operator="lessThanOrEqual" allowBlank="1" showDropDown="1" showInputMessage="0" showErrorMessage="1" error="Skor tidak boleh melebihi skor maksimum!" sqref="N200">
      <formula1>M200</formula1>
    </dataValidation>
    <dataValidation type="decimal" errorStyle="stop" operator="lessThanOrEqual" allowBlank="1" showDropDown="1" showInputMessage="0" showErrorMessage="1" error="Skor tidak boleh melebihi skor maksimum!" sqref="Q200">
      <formula1>P200</formula1>
    </dataValidation>
    <dataValidation type="decimal" errorStyle="stop" operator="lessThanOrEqual" allowBlank="1" showDropDown="1" showInputMessage="0" showErrorMessage="1" error="Skor tidak boleh melebihi skor maksimum!" sqref="E201">
      <formula1>D201</formula1>
    </dataValidation>
    <dataValidation type="decimal" errorStyle="stop" operator="lessThanOrEqual" allowBlank="1" showDropDown="1" showInputMessage="0" showErrorMessage="1" error="Skor tidak boleh melebihi skor maksimum!" sqref="H201">
      <formula1>G201</formula1>
    </dataValidation>
    <dataValidation type="decimal" errorStyle="stop" operator="lessThanOrEqual" allowBlank="1" showDropDown="1" showInputMessage="0" showErrorMessage="1" error="Skor tidak boleh melebihi skor maksimum!" sqref="K201">
      <formula1>J201</formula1>
    </dataValidation>
    <dataValidation type="decimal" errorStyle="stop" operator="lessThanOrEqual" allowBlank="1" showDropDown="1" showInputMessage="0" showErrorMessage="1" error="Skor tidak boleh melebihi skor maksimum!" sqref="N201">
      <formula1>M201</formula1>
    </dataValidation>
    <dataValidation type="decimal" errorStyle="stop" operator="lessThanOrEqual" allowBlank="1" showDropDown="1" showInputMessage="0" showErrorMessage="1" error="Skor tidak boleh melebihi skor maksimum!" sqref="Q201">
      <formula1>P201</formula1>
    </dataValidation>
    <dataValidation type="decimal" errorStyle="stop" operator="lessThanOrEqual" allowBlank="1" showDropDown="1" showInputMessage="0" showErrorMessage="1" error="Skor tidak boleh melebihi skor maksimum!" sqref="E202">
      <formula1>D202</formula1>
    </dataValidation>
    <dataValidation type="decimal" errorStyle="stop" operator="lessThanOrEqual" allowBlank="1" showDropDown="1" showInputMessage="0" showErrorMessage="1" error="Skor tidak boleh melebihi skor maksimum!" sqref="H202">
      <formula1>G202</formula1>
    </dataValidation>
    <dataValidation type="decimal" errorStyle="stop" operator="lessThanOrEqual" allowBlank="1" showDropDown="1" showInputMessage="0" showErrorMessage="1" error="Skor tidak boleh melebihi skor maksimum!" sqref="K202">
      <formula1>J202</formula1>
    </dataValidation>
    <dataValidation type="decimal" errorStyle="stop" operator="lessThanOrEqual" allowBlank="1" showDropDown="1" showInputMessage="0" showErrorMessage="1" error="Skor tidak boleh melebihi skor maksimum!" sqref="N202">
      <formula1>M202</formula1>
    </dataValidation>
    <dataValidation type="decimal" errorStyle="stop" operator="lessThanOrEqual" allowBlank="1" showDropDown="1" showInputMessage="0" showErrorMessage="1" error="Skor tidak boleh melebihi skor maksimum!" sqref="Q202">
      <formula1>P202</formula1>
    </dataValidation>
    <dataValidation type="decimal" errorStyle="stop" operator="lessThanOrEqual" allowBlank="1" showDropDown="1" showInputMessage="0" showErrorMessage="1" error="Skor tidak boleh melebihi skor maksimum!" sqref="E203">
      <formula1>D203</formula1>
    </dataValidation>
    <dataValidation type="decimal" errorStyle="stop" operator="lessThanOrEqual" allowBlank="1" showDropDown="1" showInputMessage="0" showErrorMessage="1" error="Skor tidak boleh melebihi skor maksimum!" sqref="H203">
      <formula1>G203</formula1>
    </dataValidation>
    <dataValidation type="decimal" errorStyle="stop" operator="lessThanOrEqual" allowBlank="1" showDropDown="1" showInputMessage="0" showErrorMessage="1" error="Skor tidak boleh melebihi skor maksimum!" sqref="K203">
      <formula1>J203</formula1>
    </dataValidation>
    <dataValidation type="decimal" errorStyle="stop" operator="lessThanOrEqual" allowBlank="1" showDropDown="1" showInputMessage="0" showErrorMessage="1" error="Skor tidak boleh melebihi skor maksimum!" sqref="N203">
      <formula1>M203</formula1>
    </dataValidation>
    <dataValidation type="decimal" errorStyle="stop" operator="lessThanOrEqual" allowBlank="1" showDropDown="1" showInputMessage="0" showErrorMessage="1" error="Skor tidak boleh melebihi skor maksimum!" sqref="Q203">
      <formula1>P203</formula1>
    </dataValidation>
    <dataValidation type="decimal" errorStyle="stop" operator="lessThanOrEqual" allowBlank="1" showDropDown="1" showInputMessage="0" showErrorMessage="1" error="Skor tidak boleh melebihi skor maksimum!" sqref="E204">
      <formula1>D204</formula1>
    </dataValidation>
    <dataValidation type="decimal" errorStyle="stop" operator="lessThanOrEqual" allowBlank="1" showDropDown="1" showInputMessage="0" showErrorMessage="1" error="Skor tidak boleh melebihi skor maksimum!" sqref="H204">
      <formula1>G204</formula1>
    </dataValidation>
    <dataValidation type="decimal" errorStyle="stop" operator="lessThanOrEqual" allowBlank="1" showDropDown="1" showInputMessage="0" showErrorMessage="1" error="Skor tidak boleh melebihi skor maksimum!" sqref="K204">
      <formula1>J204</formula1>
    </dataValidation>
    <dataValidation type="decimal" errorStyle="stop" operator="lessThanOrEqual" allowBlank="1" showDropDown="1" showInputMessage="0" showErrorMessage="1" error="Skor tidak boleh melebihi skor maksimum!" sqref="N204">
      <formula1>M204</formula1>
    </dataValidation>
    <dataValidation type="decimal" errorStyle="stop" operator="lessThanOrEqual" allowBlank="1" showDropDown="1" showInputMessage="0" showErrorMessage="1" error="Skor tidak boleh melebihi skor maksimum!" sqref="Q204">
      <formula1>P204</formula1>
    </dataValidation>
    <dataValidation type="decimal" errorStyle="stop" operator="lessThanOrEqual" allowBlank="1" showDropDown="1" showInputMessage="0" showErrorMessage="1" error="Skor tidak boleh melebihi skor maksimum!" sqref="E205">
      <formula1>D205</formula1>
    </dataValidation>
    <dataValidation type="decimal" errorStyle="stop" operator="lessThanOrEqual" allowBlank="1" showDropDown="1" showInputMessage="0" showErrorMessage="1" error="Skor tidak boleh melebihi skor maksimum!" sqref="H205">
      <formula1>G205</formula1>
    </dataValidation>
    <dataValidation type="decimal" errorStyle="stop" operator="lessThanOrEqual" allowBlank="1" showDropDown="1" showInputMessage="0" showErrorMessage="1" error="Skor tidak boleh melebihi skor maksimum!" sqref="K205">
      <formula1>J205</formula1>
    </dataValidation>
    <dataValidation type="decimal" errorStyle="stop" operator="lessThanOrEqual" allowBlank="1" showDropDown="1" showInputMessage="0" showErrorMessage="1" error="Skor tidak boleh melebihi skor maksimum!" sqref="N205">
      <formula1>M205</formula1>
    </dataValidation>
    <dataValidation type="decimal" errorStyle="stop" operator="lessThanOrEqual" allowBlank="1" showDropDown="1" showInputMessage="0" showErrorMessage="1" error="Skor tidak boleh melebihi skor maksimum!" sqref="Q205">
      <formula1>P205</formula1>
    </dataValidation>
    <dataValidation type="decimal" errorStyle="stop" operator="lessThanOrEqual" allowBlank="1" showDropDown="1" showInputMessage="0" showErrorMessage="1" error="Skor tidak boleh melebihi skor maksimum!" sqref="E206">
      <formula1>D206</formula1>
    </dataValidation>
    <dataValidation type="decimal" errorStyle="stop" operator="lessThanOrEqual" allowBlank="1" showDropDown="1" showInputMessage="0" showErrorMessage="1" error="Skor tidak boleh melebihi skor maksimum!" sqref="H206">
      <formula1>G206</formula1>
    </dataValidation>
    <dataValidation type="decimal" errorStyle="stop" operator="lessThanOrEqual" allowBlank="1" showDropDown="1" showInputMessage="0" showErrorMessage="1" error="Skor tidak boleh melebihi skor maksimum!" sqref="K206">
      <formula1>J206</formula1>
    </dataValidation>
    <dataValidation type="decimal" errorStyle="stop" operator="lessThanOrEqual" allowBlank="1" showDropDown="1" showInputMessage="0" showErrorMessage="1" error="Skor tidak boleh melebihi skor maksimum!" sqref="N206">
      <formula1>M206</formula1>
    </dataValidation>
    <dataValidation type="decimal" errorStyle="stop" operator="lessThanOrEqual" allowBlank="1" showDropDown="1" showInputMessage="0" showErrorMessage="1" error="Skor tidak boleh melebihi skor maksimum!" sqref="Q206">
      <formula1>P206</formula1>
    </dataValidation>
    <dataValidation type="decimal" errorStyle="stop" operator="lessThanOrEqual" allowBlank="1" showDropDown="1" showInputMessage="0" showErrorMessage="1" error="Skor tidak boleh melebihi skor maksimum!" sqref="E207">
      <formula1>D207</formula1>
    </dataValidation>
    <dataValidation type="decimal" errorStyle="stop" operator="lessThanOrEqual" allowBlank="1" showDropDown="1" showInputMessage="0" showErrorMessage="1" error="Skor tidak boleh melebihi skor maksimum!" sqref="H207">
      <formula1>G207</formula1>
    </dataValidation>
    <dataValidation type="decimal" errorStyle="stop" operator="lessThanOrEqual" allowBlank="1" showDropDown="1" showInputMessage="0" showErrorMessage="1" error="Skor tidak boleh melebihi skor maksimum!" sqref="K207">
      <formula1>J207</formula1>
    </dataValidation>
    <dataValidation type="decimal" errorStyle="stop" operator="lessThanOrEqual" allowBlank="1" showDropDown="1" showInputMessage="0" showErrorMessage="1" error="Skor tidak boleh melebihi skor maksimum!" sqref="N207">
      <formula1>M207</formula1>
    </dataValidation>
    <dataValidation type="decimal" errorStyle="stop" operator="lessThanOrEqual" allowBlank="1" showDropDown="1" showInputMessage="0" showErrorMessage="1" error="Skor tidak boleh melebihi skor maksimum!" sqref="Q207">
      <formula1>P207</formula1>
    </dataValidation>
    <dataValidation type="decimal" errorStyle="stop" operator="lessThanOrEqual" allowBlank="1" showDropDown="1" showInputMessage="0" showErrorMessage="1" error="Skor tidak boleh melebihi skor maksimum!" sqref="E208">
      <formula1>D208</formula1>
    </dataValidation>
    <dataValidation type="decimal" errorStyle="stop" operator="lessThanOrEqual" allowBlank="1" showDropDown="1" showInputMessage="0" showErrorMessage="1" error="Skor tidak boleh melebihi skor maksimum!" sqref="H208">
      <formula1>G208</formula1>
    </dataValidation>
    <dataValidation type="decimal" errorStyle="stop" operator="lessThanOrEqual" allowBlank="1" showDropDown="1" showInputMessage="0" showErrorMessage="1" error="Skor tidak boleh melebihi skor maksimum!" sqref="K208">
      <formula1>J208</formula1>
    </dataValidation>
    <dataValidation type="decimal" errorStyle="stop" operator="lessThanOrEqual" allowBlank="1" showDropDown="1" showInputMessage="0" showErrorMessage="1" error="Skor tidak boleh melebihi skor maksimum!" sqref="N208">
      <formula1>M208</formula1>
    </dataValidation>
    <dataValidation type="decimal" errorStyle="stop" operator="lessThanOrEqual" allowBlank="1" showDropDown="1" showInputMessage="0" showErrorMessage="1" error="Skor tidak boleh melebihi skor maksimum!" sqref="Q208">
      <formula1>P208</formula1>
    </dataValidation>
    <dataValidation type="decimal" errorStyle="stop" operator="lessThanOrEqual" allowBlank="1" showDropDown="1" showInputMessage="0" showErrorMessage="1" error="Skor tidak boleh melebihi skor maksimum!" sqref="E209">
      <formula1>D209</formula1>
    </dataValidation>
    <dataValidation type="decimal" errorStyle="stop" operator="lessThanOrEqual" allowBlank="1" showDropDown="1" showInputMessage="0" showErrorMessage="1" error="Skor tidak boleh melebihi skor maksimum!" sqref="H209">
      <formula1>G209</formula1>
    </dataValidation>
    <dataValidation type="decimal" errorStyle="stop" operator="lessThanOrEqual" allowBlank="1" showDropDown="1" showInputMessage="0" showErrorMessage="1" error="Skor tidak boleh melebihi skor maksimum!" sqref="K209">
      <formula1>J209</formula1>
    </dataValidation>
    <dataValidation type="decimal" errorStyle="stop" operator="lessThanOrEqual" allowBlank="1" showDropDown="1" showInputMessage="0" showErrorMessage="1" error="Skor tidak boleh melebihi skor maksimum!" sqref="N209">
      <formula1>M209</formula1>
    </dataValidation>
    <dataValidation type="decimal" errorStyle="stop" operator="lessThanOrEqual" allowBlank="1" showDropDown="1" showInputMessage="0" showErrorMessage="1" error="Skor tidak boleh melebihi skor maksimum!" sqref="Q209">
      <formula1>P209</formula1>
    </dataValidation>
    <dataValidation type="decimal" errorStyle="stop" operator="lessThanOrEqual" allowBlank="1" showDropDown="1" showInputMessage="0" showErrorMessage="1" error="Skor tidak boleh melebihi skor maksimum!" sqref="E210">
      <formula1>D210</formula1>
    </dataValidation>
    <dataValidation type="decimal" errorStyle="stop" operator="lessThanOrEqual" allowBlank="1" showDropDown="1" showInputMessage="0" showErrorMessage="1" error="Skor tidak boleh melebihi skor maksimum!" sqref="H210">
      <formula1>G210</formula1>
    </dataValidation>
    <dataValidation type="decimal" errorStyle="stop" operator="lessThanOrEqual" allowBlank="1" showDropDown="1" showInputMessage="0" showErrorMessage="1" error="Skor tidak boleh melebihi skor maksimum!" sqref="K210">
      <formula1>J210</formula1>
    </dataValidation>
    <dataValidation type="decimal" errorStyle="stop" operator="lessThanOrEqual" allowBlank="1" showDropDown="1" showInputMessage="0" showErrorMessage="1" error="Skor tidak boleh melebihi skor maksimum!" sqref="N210">
      <formula1>M210</formula1>
    </dataValidation>
    <dataValidation type="decimal" errorStyle="stop" operator="lessThanOrEqual" allowBlank="1" showDropDown="1" showInputMessage="0" showErrorMessage="1" error="Skor tidak boleh melebihi skor maksimum!" sqref="Q210">
      <formula1>P210</formula1>
    </dataValidation>
    <dataValidation type="decimal" errorStyle="stop" operator="lessThanOrEqual" allowBlank="1" showDropDown="1" showInputMessage="0" showErrorMessage="1" error="Skor tidak boleh melebihi skor maksimum!" sqref="E211">
      <formula1>D211</formula1>
    </dataValidation>
    <dataValidation type="decimal" errorStyle="stop" operator="lessThanOrEqual" allowBlank="1" showDropDown="1" showInputMessage="0" showErrorMessage="1" error="Skor tidak boleh melebihi skor maksimum!" sqref="H211">
      <formula1>G211</formula1>
    </dataValidation>
    <dataValidation type="decimal" errorStyle="stop" operator="lessThanOrEqual" allowBlank="1" showDropDown="1" showInputMessage="0" showErrorMessage="1" error="Skor tidak boleh melebihi skor maksimum!" sqref="K211">
      <formula1>J211</formula1>
    </dataValidation>
    <dataValidation type="decimal" errorStyle="stop" operator="lessThanOrEqual" allowBlank="1" showDropDown="1" showInputMessage="0" showErrorMessage="1" error="Skor tidak boleh melebihi skor maksimum!" sqref="N211">
      <formula1>M211</formula1>
    </dataValidation>
    <dataValidation type="decimal" errorStyle="stop" operator="lessThanOrEqual" allowBlank="1" showDropDown="1" showInputMessage="0" showErrorMessage="1" error="Skor tidak boleh melebihi skor maksimum!" sqref="Q211">
      <formula1>P211</formula1>
    </dataValidation>
    <dataValidation type="decimal" errorStyle="stop" operator="lessThanOrEqual" allowBlank="1" showDropDown="1" showInputMessage="0" showErrorMessage="1" error="Skor tidak boleh melebihi skor maksimum!" sqref="E212">
      <formula1>D212</formula1>
    </dataValidation>
    <dataValidation type="decimal" errorStyle="stop" operator="lessThanOrEqual" allowBlank="1" showDropDown="1" showInputMessage="0" showErrorMessage="1" error="Skor tidak boleh melebihi skor maksimum!" sqref="H212">
      <formula1>G212</formula1>
    </dataValidation>
    <dataValidation type="decimal" errorStyle="stop" operator="lessThanOrEqual" allowBlank="1" showDropDown="1" showInputMessage="0" showErrorMessage="1" error="Skor tidak boleh melebihi skor maksimum!" sqref="K212">
      <formula1>J212</formula1>
    </dataValidation>
    <dataValidation type="decimal" errorStyle="stop" operator="lessThanOrEqual" allowBlank="1" showDropDown="1" showInputMessage="0" showErrorMessage="1" error="Skor tidak boleh melebihi skor maksimum!" sqref="N212">
      <formula1>M212</formula1>
    </dataValidation>
    <dataValidation type="decimal" errorStyle="stop" operator="lessThanOrEqual" allowBlank="1" showDropDown="1" showInputMessage="0" showErrorMessage="1" error="Skor tidak boleh melebihi skor maksimum!" sqref="Q212">
      <formula1>P212</formula1>
    </dataValidation>
    <dataValidation type="decimal" errorStyle="stop" operator="lessThanOrEqual" allowBlank="1" showDropDown="1" showInputMessage="0" showErrorMessage="1" error="Skor tidak boleh melebihi skor maksimum!" sqref="E213">
      <formula1>D213</formula1>
    </dataValidation>
    <dataValidation type="decimal" errorStyle="stop" operator="lessThanOrEqual" allowBlank="1" showDropDown="1" showInputMessage="0" showErrorMessage="1" error="Skor tidak boleh melebihi skor maksimum!" sqref="H213">
      <formula1>G213</formula1>
    </dataValidation>
    <dataValidation type="decimal" errorStyle="stop" operator="lessThanOrEqual" allowBlank="1" showDropDown="1" showInputMessage="0" showErrorMessage="1" error="Skor tidak boleh melebihi skor maksimum!" sqref="K213">
      <formula1>J213</formula1>
    </dataValidation>
    <dataValidation type="decimal" errorStyle="stop" operator="lessThanOrEqual" allowBlank="1" showDropDown="1" showInputMessage="0" showErrorMessage="1" error="Skor tidak boleh melebihi skor maksimum!" sqref="N213">
      <formula1>M213</formula1>
    </dataValidation>
    <dataValidation type="decimal" errorStyle="stop" operator="lessThanOrEqual" allowBlank="1" showDropDown="1" showInputMessage="0" showErrorMessage="1" error="Skor tidak boleh melebihi skor maksimum!" sqref="Q213">
      <formula1>P213</formula1>
    </dataValidation>
    <dataValidation type="decimal" errorStyle="stop" operator="lessThanOrEqual" allowBlank="1" showDropDown="1" showInputMessage="0" showErrorMessage="1" error="Skor tidak boleh melebihi skor maksimum!" sqref="E214">
      <formula1>D214</formula1>
    </dataValidation>
    <dataValidation type="decimal" errorStyle="stop" operator="lessThanOrEqual" allowBlank="1" showDropDown="1" showInputMessage="0" showErrorMessage="1" error="Skor tidak boleh melebihi skor maksimum!" sqref="H214">
      <formula1>G214</formula1>
    </dataValidation>
    <dataValidation type="decimal" errorStyle="stop" operator="lessThanOrEqual" allowBlank="1" showDropDown="1" showInputMessage="0" showErrorMessage="1" error="Skor tidak boleh melebihi skor maksimum!" sqref="K214">
      <formula1>J214</formula1>
    </dataValidation>
    <dataValidation type="decimal" errorStyle="stop" operator="lessThanOrEqual" allowBlank="1" showDropDown="1" showInputMessage="0" showErrorMessage="1" error="Skor tidak boleh melebihi skor maksimum!" sqref="N214">
      <formula1>M214</formula1>
    </dataValidation>
    <dataValidation type="decimal" errorStyle="stop" operator="lessThanOrEqual" allowBlank="1" showDropDown="1" showInputMessage="0" showErrorMessage="1" error="Skor tidak boleh melebihi skor maksimum!" sqref="Q214">
      <formula1>P214</formula1>
    </dataValidation>
    <dataValidation type="decimal" errorStyle="stop" operator="lessThanOrEqual" allowBlank="1" showDropDown="1" showInputMessage="0" showErrorMessage="1" error="Skor tidak boleh melebihi skor maksimum!" sqref="E215">
      <formula1>D215</formula1>
    </dataValidation>
    <dataValidation type="decimal" errorStyle="stop" operator="lessThanOrEqual" allowBlank="1" showDropDown="1" showInputMessage="0" showErrorMessage="1" error="Skor tidak boleh melebihi skor maksimum!" sqref="H215">
      <formula1>G215</formula1>
    </dataValidation>
    <dataValidation type="decimal" errorStyle="stop" operator="lessThanOrEqual" allowBlank="1" showDropDown="1" showInputMessage="0" showErrorMessage="1" error="Skor tidak boleh melebihi skor maksimum!" sqref="K215">
      <formula1>J215</formula1>
    </dataValidation>
    <dataValidation type="decimal" errorStyle="stop" operator="lessThanOrEqual" allowBlank="1" showDropDown="1" showInputMessage="0" showErrorMessage="1" error="Skor tidak boleh melebihi skor maksimum!" sqref="N215">
      <formula1>M215</formula1>
    </dataValidation>
    <dataValidation type="decimal" errorStyle="stop" operator="lessThanOrEqual" allowBlank="1" showDropDown="1" showInputMessage="0" showErrorMessage="1" error="Skor tidak boleh melebihi skor maksimum!" sqref="Q215">
      <formula1>P215</formula1>
    </dataValidation>
    <dataValidation type="decimal" errorStyle="stop" operator="lessThanOrEqual" allowBlank="1" showDropDown="1" showInputMessage="0" showErrorMessage="1" error="Skor tidak boleh melebihi skor maksimum!" sqref="E216">
      <formula1>D216</formula1>
    </dataValidation>
    <dataValidation type="decimal" errorStyle="stop" operator="lessThanOrEqual" allowBlank="1" showDropDown="1" showInputMessage="0" showErrorMessage="1" error="Skor tidak boleh melebihi skor maksimum!" sqref="H216">
      <formula1>G216</formula1>
    </dataValidation>
    <dataValidation type="decimal" errorStyle="stop" operator="lessThanOrEqual" allowBlank="1" showDropDown="1" showInputMessage="0" showErrorMessage="1" error="Skor tidak boleh melebihi skor maksimum!" sqref="K216">
      <formula1>J216</formula1>
    </dataValidation>
    <dataValidation type="decimal" errorStyle="stop" operator="lessThanOrEqual" allowBlank="1" showDropDown="1" showInputMessage="0" showErrorMessage="1" error="Skor tidak boleh melebihi skor maksimum!" sqref="N216">
      <formula1>M216</formula1>
    </dataValidation>
    <dataValidation type="decimal" errorStyle="stop" operator="lessThanOrEqual" allowBlank="1" showDropDown="1" showInputMessage="0" showErrorMessage="1" error="Skor tidak boleh melebihi skor maksimum!" sqref="Q216">
      <formula1>P216</formula1>
    </dataValidation>
    <dataValidation type="decimal" errorStyle="stop" operator="lessThanOrEqual" allowBlank="1" showDropDown="1" showInputMessage="0" showErrorMessage="1" error="Skor tidak boleh melebihi skor maksimum!" sqref="E217">
      <formula1>D217</formula1>
    </dataValidation>
    <dataValidation type="decimal" errorStyle="stop" operator="lessThanOrEqual" allowBlank="1" showDropDown="1" showInputMessage="0" showErrorMessage="1" error="Skor tidak boleh melebihi skor maksimum!" sqref="H217">
      <formula1>G217</formula1>
    </dataValidation>
    <dataValidation type="decimal" errorStyle="stop" operator="lessThanOrEqual" allowBlank="1" showDropDown="1" showInputMessage="0" showErrorMessage="1" error="Skor tidak boleh melebihi skor maksimum!" sqref="K217">
      <formula1>J217</formula1>
    </dataValidation>
    <dataValidation type="decimal" errorStyle="stop" operator="lessThanOrEqual" allowBlank="1" showDropDown="1" showInputMessage="0" showErrorMessage="1" error="Skor tidak boleh melebihi skor maksimum!" sqref="N217">
      <formula1>M217</formula1>
    </dataValidation>
    <dataValidation type="decimal" errorStyle="stop" operator="lessThanOrEqual" allowBlank="1" showDropDown="1" showInputMessage="0" showErrorMessage="1" error="Skor tidak boleh melebihi skor maksimum!" sqref="Q217">
      <formula1>P217</formula1>
    </dataValidation>
    <dataValidation type="decimal" errorStyle="stop" operator="lessThanOrEqual" allowBlank="1" showDropDown="1" showInputMessage="0" showErrorMessage="1" error="Skor tidak boleh melebihi skor maksimum!" sqref="E218">
      <formula1>D218</formula1>
    </dataValidation>
    <dataValidation type="decimal" errorStyle="stop" operator="lessThanOrEqual" allowBlank="1" showDropDown="1" showInputMessage="0" showErrorMessage="1" error="Skor tidak boleh melebihi skor maksimum!" sqref="H218">
      <formula1>G218</formula1>
    </dataValidation>
    <dataValidation type="decimal" errorStyle="stop" operator="lessThanOrEqual" allowBlank="1" showDropDown="1" showInputMessage="0" showErrorMessage="1" error="Skor tidak boleh melebihi skor maksimum!" sqref="K218">
      <formula1>J218</formula1>
    </dataValidation>
    <dataValidation type="decimal" errorStyle="stop" operator="lessThanOrEqual" allowBlank="1" showDropDown="1" showInputMessage="0" showErrorMessage="1" error="Skor tidak boleh melebihi skor maksimum!" sqref="N218">
      <formula1>M218</formula1>
    </dataValidation>
    <dataValidation type="decimal" errorStyle="stop" operator="lessThanOrEqual" allowBlank="1" showDropDown="1" showInputMessage="0" showErrorMessage="1" error="Skor tidak boleh melebihi skor maksimum!" sqref="Q218">
      <formula1>P218</formula1>
    </dataValidation>
    <dataValidation type="decimal" errorStyle="stop" operator="lessThanOrEqual" allowBlank="1" showDropDown="1" showInputMessage="0" showErrorMessage="1" error="Skor tidak boleh melebihi skor maksimum!" sqref="E219">
      <formula1>D219</formula1>
    </dataValidation>
    <dataValidation type="decimal" errorStyle="stop" operator="lessThanOrEqual" allowBlank="1" showDropDown="1" showInputMessage="0" showErrorMessage="1" error="Skor tidak boleh melebihi skor maksimum!" sqref="H219">
      <formula1>G219</formula1>
    </dataValidation>
    <dataValidation type="decimal" errorStyle="stop" operator="lessThanOrEqual" allowBlank="1" showDropDown="1" showInputMessage="0" showErrorMessage="1" error="Skor tidak boleh melebihi skor maksimum!" sqref="K219">
      <formula1>J219</formula1>
    </dataValidation>
    <dataValidation type="decimal" errorStyle="stop" operator="lessThanOrEqual" allowBlank="1" showDropDown="1" showInputMessage="0" showErrorMessage="1" error="Skor tidak boleh melebihi skor maksimum!" sqref="N219">
      <formula1>M219</formula1>
    </dataValidation>
    <dataValidation type="decimal" errorStyle="stop" operator="lessThanOrEqual" allowBlank="1" showDropDown="1" showInputMessage="0" showErrorMessage="1" error="Skor tidak boleh melebihi skor maksimum!" sqref="Q219">
      <formula1>P219</formula1>
    </dataValidation>
    <dataValidation type="decimal" errorStyle="stop" operator="lessThanOrEqual" allowBlank="1" showDropDown="1" showInputMessage="0" showErrorMessage="1" error="Skor tidak boleh melebihi skor maksimum!" sqref="E220">
      <formula1>D220</formula1>
    </dataValidation>
    <dataValidation type="decimal" errorStyle="stop" operator="lessThanOrEqual" allowBlank="1" showDropDown="1" showInputMessage="0" showErrorMessage="1" error="Skor tidak boleh melebihi skor maksimum!" sqref="H220">
      <formula1>G220</formula1>
    </dataValidation>
    <dataValidation type="decimal" errorStyle="stop" operator="lessThanOrEqual" allowBlank="1" showDropDown="1" showInputMessage="0" showErrorMessage="1" error="Skor tidak boleh melebihi skor maksimum!" sqref="K220">
      <formula1>J220</formula1>
    </dataValidation>
    <dataValidation type="decimal" errorStyle="stop" operator="lessThanOrEqual" allowBlank="1" showDropDown="1" showInputMessage="0" showErrorMessage="1" error="Skor tidak boleh melebihi skor maksimum!" sqref="N220">
      <formula1>M220</formula1>
    </dataValidation>
    <dataValidation type="decimal" errorStyle="stop" operator="lessThanOrEqual" allowBlank="1" showDropDown="1" showInputMessage="0" showErrorMessage="1" error="Skor tidak boleh melebihi skor maksimum!" sqref="Q220">
      <formula1>P220</formula1>
    </dataValidation>
    <dataValidation type="decimal" errorStyle="stop" operator="lessThanOrEqual" allowBlank="1" showDropDown="1" showInputMessage="0" showErrorMessage="1" error="Skor tidak boleh melebihi skor maksimum!" sqref="E221">
      <formula1>D221</formula1>
    </dataValidation>
    <dataValidation type="decimal" errorStyle="stop" operator="lessThanOrEqual" allowBlank="1" showDropDown="1" showInputMessage="0" showErrorMessage="1" error="Skor tidak boleh melebihi skor maksimum!" sqref="H221">
      <formula1>G221</formula1>
    </dataValidation>
    <dataValidation type="decimal" errorStyle="stop" operator="lessThanOrEqual" allowBlank="1" showDropDown="1" showInputMessage="0" showErrorMessage="1" error="Skor tidak boleh melebihi skor maksimum!" sqref="K221">
      <formula1>J221</formula1>
    </dataValidation>
    <dataValidation type="decimal" errorStyle="stop" operator="lessThanOrEqual" allowBlank="1" showDropDown="1" showInputMessage="0" showErrorMessage="1" error="Skor tidak boleh melebihi skor maksimum!" sqref="N221">
      <formula1>M221</formula1>
    </dataValidation>
    <dataValidation type="decimal" errorStyle="stop" operator="lessThanOrEqual" allowBlank="1" showDropDown="1" showInputMessage="0" showErrorMessage="1" error="Skor tidak boleh melebihi skor maksimum!" sqref="Q221">
      <formula1>P221</formula1>
    </dataValidation>
    <dataValidation type="decimal" errorStyle="stop" operator="lessThanOrEqual" allowBlank="1" showDropDown="1" showInputMessage="0" showErrorMessage="1" error="Skor tidak boleh melebihi skor maksimum!" sqref="E222">
      <formula1>D222</formula1>
    </dataValidation>
    <dataValidation type="decimal" errorStyle="stop" operator="lessThanOrEqual" allowBlank="1" showDropDown="1" showInputMessage="0" showErrorMessage="1" error="Skor tidak boleh melebihi skor maksimum!" sqref="H222">
      <formula1>G222</formula1>
    </dataValidation>
    <dataValidation type="decimal" errorStyle="stop" operator="lessThanOrEqual" allowBlank="1" showDropDown="1" showInputMessage="0" showErrorMessage="1" error="Skor tidak boleh melebihi skor maksimum!" sqref="K222">
      <formula1>J222</formula1>
    </dataValidation>
    <dataValidation type="decimal" errorStyle="stop" operator="lessThanOrEqual" allowBlank="1" showDropDown="1" showInputMessage="0" showErrorMessage="1" error="Skor tidak boleh melebihi skor maksimum!" sqref="N222">
      <formula1>M222</formula1>
    </dataValidation>
    <dataValidation type="decimal" errorStyle="stop" operator="lessThanOrEqual" allowBlank="1" showDropDown="1" showInputMessage="0" showErrorMessage="1" error="Skor tidak boleh melebihi skor maksimum!" sqref="Q222">
      <formula1>P222</formula1>
    </dataValidation>
    <dataValidation type="decimal" errorStyle="stop" operator="lessThanOrEqual" allowBlank="1" showDropDown="1" showInputMessage="0" showErrorMessage="1" error="Skor tidak boleh melebihi skor maksimum!" sqref="E223">
      <formula1>D223</formula1>
    </dataValidation>
    <dataValidation type="decimal" errorStyle="stop" operator="lessThanOrEqual" allowBlank="1" showDropDown="1" showInputMessage="0" showErrorMessage="1" error="Skor tidak boleh melebihi skor maksimum!" sqref="H223">
      <formula1>G223</formula1>
    </dataValidation>
    <dataValidation type="decimal" errorStyle="stop" operator="lessThanOrEqual" allowBlank="1" showDropDown="1" showInputMessage="0" showErrorMessage="1" error="Skor tidak boleh melebihi skor maksimum!" sqref="K223">
      <formula1>J223</formula1>
    </dataValidation>
    <dataValidation type="decimal" errorStyle="stop" operator="lessThanOrEqual" allowBlank="1" showDropDown="1" showInputMessage="0" showErrorMessage="1" error="Skor tidak boleh melebihi skor maksimum!" sqref="N223">
      <formula1>M223</formula1>
    </dataValidation>
    <dataValidation type="decimal" errorStyle="stop" operator="lessThanOrEqual" allowBlank="1" showDropDown="1" showInputMessage="0" showErrorMessage="1" error="Skor tidak boleh melebihi skor maksimum!" sqref="Q223">
      <formula1>P223</formula1>
    </dataValidation>
    <dataValidation type="decimal" errorStyle="stop" operator="lessThanOrEqual" allowBlank="1" showDropDown="1" showInputMessage="0" showErrorMessage="1" error="Skor tidak boleh melebihi skor maksimum!" sqref="E224">
      <formula1>D224</formula1>
    </dataValidation>
    <dataValidation type="decimal" errorStyle="stop" operator="lessThanOrEqual" allowBlank="1" showDropDown="1" showInputMessage="0" showErrorMessage="1" error="Skor tidak boleh melebihi skor maksimum!" sqref="H224">
      <formula1>G224</formula1>
    </dataValidation>
    <dataValidation type="decimal" errorStyle="stop" operator="lessThanOrEqual" allowBlank="1" showDropDown="1" showInputMessage="0" showErrorMessage="1" error="Skor tidak boleh melebihi skor maksimum!" sqref="K224">
      <formula1>J224</formula1>
    </dataValidation>
    <dataValidation type="decimal" errorStyle="stop" operator="lessThanOrEqual" allowBlank="1" showDropDown="1" showInputMessage="0" showErrorMessage="1" error="Skor tidak boleh melebihi skor maksimum!" sqref="N224">
      <formula1>M224</formula1>
    </dataValidation>
    <dataValidation type="decimal" errorStyle="stop" operator="lessThanOrEqual" allowBlank="1" showDropDown="1" showInputMessage="0" showErrorMessage="1" error="Skor tidak boleh melebihi skor maksimum!" sqref="Q224">
      <formula1>P224</formula1>
    </dataValidation>
    <dataValidation type="decimal" errorStyle="stop" operator="lessThanOrEqual" allowBlank="1" showDropDown="1" showInputMessage="0" showErrorMessage="1" error="Skor tidak boleh melebihi skor maksimum!" sqref="E225">
      <formula1>D225</formula1>
    </dataValidation>
    <dataValidation type="decimal" errorStyle="stop" operator="lessThanOrEqual" allowBlank="1" showDropDown="1" showInputMessage="0" showErrorMessage="1" error="Skor tidak boleh melebihi skor maksimum!" sqref="H225">
      <formula1>G225</formula1>
    </dataValidation>
    <dataValidation type="decimal" errorStyle="stop" operator="lessThanOrEqual" allowBlank="1" showDropDown="1" showInputMessage="0" showErrorMessage="1" error="Skor tidak boleh melebihi skor maksimum!" sqref="K225">
      <formula1>J225</formula1>
    </dataValidation>
    <dataValidation type="decimal" errorStyle="stop" operator="lessThanOrEqual" allowBlank="1" showDropDown="1" showInputMessage="0" showErrorMessage="1" error="Skor tidak boleh melebihi skor maksimum!" sqref="N225">
      <formula1>M225</formula1>
    </dataValidation>
    <dataValidation type="decimal" errorStyle="stop" operator="lessThanOrEqual" allowBlank="1" showDropDown="1" showInputMessage="0" showErrorMessage="1" error="Skor tidak boleh melebihi skor maksimum!" sqref="Q225">
      <formula1>P225</formula1>
    </dataValidation>
    <dataValidation type="decimal" errorStyle="stop" operator="lessThanOrEqual" allowBlank="1" showDropDown="1" showInputMessage="0" showErrorMessage="1" error="Skor tidak boleh melebihi skor maksimum!" sqref="E226">
      <formula1>D226</formula1>
    </dataValidation>
    <dataValidation type="decimal" errorStyle="stop" operator="lessThanOrEqual" allowBlank="1" showDropDown="1" showInputMessage="0" showErrorMessage="1" error="Skor tidak boleh melebihi skor maksimum!" sqref="H226">
      <formula1>G226</formula1>
    </dataValidation>
    <dataValidation type="decimal" errorStyle="stop" operator="lessThanOrEqual" allowBlank="1" showDropDown="1" showInputMessage="0" showErrorMessage="1" error="Skor tidak boleh melebihi skor maksimum!" sqref="K226">
      <formula1>J226</formula1>
    </dataValidation>
    <dataValidation type="decimal" errorStyle="stop" operator="lessThanOrEqual" allowBlank="1" showDropDown="1" showInputMessage="0" showErrorMessage="1" error="Skor tidak boleh melebihi skor maksimum!" sqref="N226">
      <formula1>M226</formula1>
    </dataValidation>
    <dataValidation type="decimal" errorStyle="stop" operator="lessThanOrEqual" allowBlank="1" showDropDown="1" showInputMessage="0" showErrorMessage="1" error="Skor tidak boleh melebihi skor maksimum!" sqref="Q226">
      <formula1>P226</formula1>
    </dataValidation>
    <dataValidation type="decimal" errorStyle="stop" operator="lessThanOrEqual" allowBlank="1" showDropDown="1" showInputMessage="0" showErrorMessage="1" error="Skor tidak boleh melebihi skor maksimum!" sqref="E227">
      <formula1>D227</formula1>
    </dataValidation>
    <dataValidation type="decimal" errorStyle="stop" operator="lessThanOrEqual" allowBlank="1" showDropDown="1" showInputMessage="0" showErrorMessage="1" error="Skor tidak boleh melebihi skor maksimum!" sqref="H227">
      <formula1>G227</formula1>
    </dataValidation>
    <dataValidation type="decimal" errorStyle="stop" operator="lessThanOrEqual" allowBlank="1" showDropDown="1" showInputMessage="0" showErrorMessage="1" error="Skor tidak boleh melebihi skor maksimum!" sqref="K227">
      <formula1>J227</formula1>
    </dataValidation>
    <dataValidation type="decimal" errorStyle="stop" operator="lessThanOrEqual" allowBlank="1" showDropDown="1" showInputMessage="0" showErrorMessage="1" error="Skor tidak boleh melebihi skor maksimum!" sqref="N227">
      <formula1>M227</formula1>
    </dataValidation>
    <dataValidation type="decimal" errorStyle="stop" operator="lessThanOrEqual" allowBlank="1" showDropDown="1" showInputMessage="0" showErrorMessage="1" error="Skor tidak boleh melebihi skor maksimum!" sqref="Q227">
      <formula1>P227</formula1>
    </dataValidation>
    <dataValidation type="decimal" errorStyle="stop" operator="lessThanOrEqual" allowBlank="1" showDropDown="1" showInputMessage="0" showErrorMessage="1" error="Skor tidak boleh melebihi skor maksimum!" sqref="E228">
      <formula1>D228</formula1>
    </dataValidation>
    <dataValidation type="decimal" errorStyle="stop" operator="lessThanOrEqual" allowBlank="1" showDropDown="1" showInputMessage="0" showErrorMessage="1" error="Skor tidak boleh melebihi skor maksimum!" sqref="H228">
      <formula1>G228</formula1>
    </dataValidation>
    <dataValidation type="decimal" errorStyle="stop" operator="lessThanOrEqual" allowBlank="1" showDropDown="1" showInputMessage="0" showErrorMessage="1" error="Skor tidak boleh melebihi skor maksimum!" sqref="K228">
      <formula1>J228</formula1>
    </dataValidation>
    <dataValidation type="decimal" errorStyle="stop" operator="lessThanOrEqual" allowBlank="1" showDropDown="1" showInputMessage="0" showErrorMessage="1" error="Skor tidak boleh melebihi skor maksimum!" sqref="N228">
      <formula1>M228</formula1>
    </dataValidation>
    <dataValidation type="decimal" errorStyle="stop" operator="lessThanOrEqual" allowBlank="1" showDropDown="1" showInputMessage="0" showErrorMessage="1" error="Skor tidak boleh melebihi skor maksimum!" sqref="Q228">
      <formula1>P228</formula1>
    </dataValidation>
    <dataValidation type="decimal" errorStyle="stop" operator="lessThanOrEqual" allowBlank="1" showDropDown="1" showInputMessage="0" showErrorMessage="1" error="Skor tidak boleh melebihi skor maksimum!" sqref="E229">
      <formula1>D229</formula1>
    </dataValidation>
    <dataValidation type="decimal" errorStyle="stop" operator="lessThanOrEqual" allowBlank="1" showDropDown="1" showInputMessage="0" showErrorMessage="1" error="Skor tidak boleh melebihi skor maksimum!" sqref="H229">
      <formula1>G229</formula1>
    </dataValidation>
    <dataValidation type="decimal" errorStyle="stop" operator="lessThanOrEqual" allowBlank="1" showDropDown="1" showInputMessage="0" showErrorMessage="1" error="Skor tidak boleh melebihi skor maksimum!" sqref="K229">
      <formula1>J229</formula1>
    </dataValidation>
    <dataValidation type="decimal" errorStyle="stop" operator="lessThanOrEqual" allowBlank="1" showDropDown="1" showInputMessage="0" showErrorMessage="1" error="Skor tidak boleh melebihi skor maksimum!" sqref="N229">
      <formula1>M229</formula1>
    </dataValidation>
    <dataValidation type="decimal" errorStyle="stop" operator="lessThanOrEqual" allowBlank="1" showDropDown="1" showInputMessage="0" showErrorMessage="1" error="Skor tidak boleh melebihi skor maksimum!" sqref="Q229">
      <formula1>P229</formula1>
    </dataValidation>
    <dataValidation type="decimal" errorStyle="stop" operator="lessThanOrEqual" allowBlank="1" showDropDown="1" showInputMessage="0" showErrorMessage="1" error="Skor tidak boleh melebihi skor maksimum!" sqref="E230">
      <formula1>D230</formula1>
    </dataValidation>
    <dataValidation type="decimal" errorStyle="stop" operator="lessThanOrEqual" allowBlank="1" showDropDown="1" showInputMessage="0" showErrorMessage="1" error="Skor tidak boleh melebihi skor maksimum!" sqref="H230">
      <formula1>G230</formula1>
    </dataValidation>
    <dataValidation type="decimal" errorStyle="stop" operator="lessThanOrEqual" allowBlank="1" showDropDown="1" showInputMessage="0" showErrorMessage="1" error="Skor tidak boleh melebihi skor maksimum!" sqref="K230">
      <formula1>J230</formula1>
    </dataValidation>
    <dataValidation type="decimal" errorStyle="stop" operator="lessThanOrEqual" allowBlank="1" showDropDown="1" showInputMessage="0" showErrorMessage="1" error="Skor tidak boleh melebihi skor maksimum!" sqref="N230">
      <formula1>M230</formula1>
    </dataValidation>
    <dataValidation type="decimal" errorStyle="stop" operator="lessThanOrEqual" allowBlank="1" showDropDown="1" showInputMessage="0" showErrorMessage="1" error="Skor tidak boleh melebihi skor maksimum!" sqref="Q230">
      <formula1>P230</formula1>
    </dataValidation>
    <dataValidation type="decimal" errorStyle="stop" operator="lessThanOrEqual" allowBlank="1" showDropDown="1" showInputMessage="0" showErrorMessage="1" error="Skor tidak boleh melebihi skor maksimum!" sqref="E231">
      <formula1>D231</formula1>
    </dataValidation>
    <dataValidation type="decimal" errorStyle="stop" operator="lessThanOrEqual" allowBlank="1" showDropDown="1" showInputMessage="0" showErrorMessage="1" error="Skor tidak boleh melebihi skor maksimum!" sqref="H231">
      <formula1>G231</formula1>
    </dataValidation>
    <dataValidation type="decimal" errorStyle="stop" operator="lessThanOrEqual" allowBlank="1" showDropDown="1" showInputMessage="0" showErrorMessage="1" error="Skor tidak boleh melebihi skor maksimum!" sqref="K231">
      <formula1>J231</formula1>
    </dataValidation>
    <dataValidation type="decimal" errorStyle="stop" operator="lessThanOrEqual" allowBlank="1" showDropDown="1" showInputMessage="0" showErrorMessage="1" error="Skor tidak boleh melebihi skor maksimum!" sqref="N231">
      <formula1>M231</formula1>
    </dataValidation>
    <dataValidation type="decimal" errorStyle="stop" operator="lessThanOrEqual" allowBlank="1" showDropDown="1" showInputMessage="0" showErrorMessage="1" error="Skor tidak boleh melebihi skor maksimum!" sqref="Q231">
      <formula1>P231</formula1>
    </dataValidation>
    <dataValidation type="decimal" errorStyle="stop" operator="lessThanOrEqual" allowBlank="1" showDropDown="1" showInputMessage="0" showErrorMessage="1" error="Skor tidak boleh melebihi skor maksimum!" sqref="E232">
      <formula1>D232</formula1>
    </dataValidation>
    <dataValidation type="decimal" errorStyle="stop" operator="lessThanOrEqual" allowBlank="1" showDropDown="1" showInputMessage="0" showErrorMessage="1" error="Skor tidak boleh melebihi skor maksimum!" sqref="H232">
      <formula1>G232</formula1>
    </dataValidation>
    <dataValidation type="decimal" errorStyle="stop" operator="lessThanOrEqual" allowBlank="1" showDropDown="1" showInputMessage="0" showErrorMessage="1" error="Skor tidak boleh melebihi skor maksimum!" sqref="K232">
      <formula1>J232</formula1>
    </dataValidation>
    <dataValidation type="decimal" errorStyle="stop" operator="lessThanOrEqual" allowBlank="1" showDropDown="1" showInputMessage="0" showErrorMessage="1" error="Skor tidak boleh melebihi skor maksimum!" sqref="N232">
      <formula1>M232</formula1>
    </dataValidation>
    <dataValidation type="decimal" errorStyle="stop" operator="lessThanOrEqual" allowBlank="1" showDropDown="1" showInputMessage="0" showErrorMessage="1" error="Skor tidak boleh melebihi skor maksimum!" sqref="Q232">
      <formula1>P232</formula1>
    </dataValidation>
    <dataValidation type="decimal" errorStyle="stop" operator="lessThanOrEqual" allowBlank="1" showDropDown="1" showInputMessage="0" showErrorMessage="1" error="Skor tidak boleh melebihi skor maksimum!" sqref="E233">
      <formula1>D233</formula1>
    </dataValidation>
    <dataValidation type="decimal" errorStyle="stop" operator="lessThanOrEqual" allowBlank="1" showDropDown="1" showInputMessage="0" showErrorMessage="1" error="Skor tidak boleh melebihi skor maksimum!" sqref="H233">
      <formula1>G233</formula1>
    </dataValidation>
    <dataValidation type="decimal" errorStyle="stop" operator="lessThanOrEqual" allowBlank="1" showDropDown="1" showInputMessage="0" showErrorMessage="1" error="Skor tidak boleh melebihi skor maksimum!" sqref="K233">
      <formula1>J233</formula1>
    </dataValidation>
    <dataValidation type="decimal" errorStyle="stop" operator="lessThanOrEqual" allowBlank="1" showDropDown="1" showInputMessage="0" showErrorMessage="1" error="Skor tidak boleh melebihi skor maksimum!" sqref="N233">
      <formula1>M233</formula1>
    </dataValidation>
    <dataValidation type="decimal" errorStyle="stop" operator="lessThanOrEqual" allowBlank="1" showDropDown="1" showInputMessage="0" showErrorMessage="1" error="Skor tidak boleh melebihi skor maksimum!" sqref="Q233">
      <formula1>P233</formula1>
    </dataValidation>
    <dataValidation type="decimal" errorStyle="stop" operator="lessThanOrEqual" allowBlank="1" showDropDown="1" showInputMessage="0" showErrorMessage="1" error="Skor tidak boleh melebihi skor maksimum!" sqref="E234">
      <formula1>D234</formula1>
    </dataValidation>
    <dataValidation type="decimal" errorStyle="stop" operator="lessThanOrEqual" allowBlank="1" showDropDown="1" showInputMessage="0" showErrorMessage="1" error="Skor tidak boleh melebihi skor maksimum!" sqref="H234">
      <formula1>G234</formula1>
    </dataValidation>
    <dataValidation type="decimal" errorStyle="stop" operator="lessThanOrEqual" allowBlank="1" showDropDown="1" showInputMessage="0" showErrorMessage="1" error="Skor tidak boleh melebihi skor maksimum!" sqref="K234">
      <formula1>J234</formula1>
    </dataValidation>
    <dataValidation type="decimal" errorStyle="stop" operator="lessThanOrEqual" allowBlank="1" showDropDown="1" showInputMessage="0" showErrorMessage="1" error="Skor tidak boleh melebihi skor maksimum!" sqref="N234">
      <formula1>M234</formula1>
    </dataValidation>
    <dataValidation type="decimal" errorStyle="stop" operator="lessThanOrEqual" allowBlank="1" showDropDown="1" showInputMessage="0" showErrorMessage="1" error="Skor tidak boleh melebihi skor maksimum!" sqref="Q234">
      <formula1>P234</formula1>
    </dataValidation>
    <dataValidation type="decimal" errorStyle="stop" operator="lessThanOrEqual" allowBlank="1" showDropDown="1" showInputMessage="0" showErrorMessage="1" error="Skor tidak boleh melebihi skor maksimum!" sqref="E235">
      <formula1>D235</formula1>
    </dataValidation>
    <dataValidation type="decimal" errorStyle="stop" operator="lessThanOrEqual" allowBlank="1" showDropDown="1" showInputMessage="0" showErrorMessage="1" error="Skor tidak boleh melebihi skor maksimum!" sqref="H235">
      <formula1>G235</formula1>
    </dataValidation>
    <dataValidation type="decimal" errorStyle="stop" operator="lessThanOrEqual" allowBlank="1" showDropDown="1" showInputMessage="0" showErrorMessage="1" error="Skor tidak boleh melebihi skor maksimum!" sqref="K235">
      <formula1>J235</formula1>
    </dataValidation>
    <dataValidation type="decimal" errorStyle="stop" operator="lessThanOrEqual" allowBlank="1" showDropDown="1" showInputMessage="0" showErrorMessage="1" error="Skor tidak boleh melebihi skor maksimum!" sqref="N235">
      <formula1>M235</formula1>
    </dataValidation>
    <dataValidation type="decimal" errorStyle="stop" operator="lessThanOrEqual" allowBlank="1" showDropDown="1" showInputMessage="0" showErrorMessage="1" error="Skor tidak boleh melebihi skor maksimum!" sqref="Q235">
      <formula1>P235</formula1>
    </dataValidation>
    <dataValidation type="decimal" errorStyle="stop" operator="lessThanOrEqual" allowBlank="1" showDropDown="1" showInputMessage="0" showErrorMessage="1" error="Skor tidak boleh melebihi skor maksimum!" sqref="E236">
      <formula1>D236</formula1>
    </dataValidation>
    <dataValidation type="decimal" errorStyle="stop" operator="lessThanOrEqual" allowBlank="1" showDropDown="1" showInputMessage="0" showErrorMessage="1" error="Skor tidak boleh melebihi skor maksimum!" sqref="H236">
      <formula1>G236</formula1>
    </dataValidation>
    <dataValidation type="decimal" errorStyle="stop" operator="lessThanOrEqual" allowBlank="1" showDropDown="1" showInputMessage="0" showErrorMessage="1" error="Skor tidak boleh melebihi skor maksimum!" sqref="K236">
      <formula1>J236</formula1>
    </dataValidation>
    <dataValidation type="decimal" errorStyle="stop" operator="lessThanOrEqual" allowBlank="1" showDropDown="1" showInputMessage="0" showErrorMessage="1" error="Skor tidak boleh melebihi skor maksimum!" sqref="N236">
      <formula1>M236</formula1>
    </dataValidation>
    <dataValidation type="decimal" errorStyle="stop" operator="lessThanOrEqual" allowBlank="1" showDropDown="1" showInputMessage="0" showErrorMessage="1" error="Skor tidak boleh melebihi skor maksimum!" sqref="Q236">
      <formula1>P236</formula1>
    </dataValidation>
    <dataValidation type="decimal" errorStyle="stop" operator="lessThanOrEqual" allowBlank="1" showDropDown="1" showInputMessage="0" showErrorMessage="1" error="Skor tidak boleh melebihi skor maksimum!" sqref="E237">
      <formula1>D237</formula1>
    </dataValidation>
    <dataValidation type="decimal" errorStyle="stop" operator="lessThanOrEqual" allowBlank="1" showDropDown="1" showInputMessage="0" showErrorMessage="1" error="Skor tidak boleh melebihi skor maksimum!" sqref="H237">
      <formula1>G237</formula1>
    </dataValidation>
    <dataValidation type="decimal" errorStyle="stop" operator="lessThanOrEqual" allowBlank="1" showDropDown="1" showInputMessage="0" showErrorMessage="1" error="Skor tidak boleh melebihi skor maksimum!" sqref="K237">
      <formula1>J237</formula1>
    </dataValidation>
    <dataValidation type="decimal" errorStyle="stop" operator="lessThanOrEqual" allowBlank="1" showDropDown="1" showInputMessage="0" showErrorMessage="1" error="Skor tidak boleh melebihi skor maksimum!" sqref="N237">
      <formula1>M237</formula1>
    </dataValidation>
    <dataValidation type="decimal" errorStyle="stop" operator="lessThanOrEqual" allowBlank="1" showDropDown="1" showInputMessage="0" showErrorMessage="1" error="Skor tidak boleh melebihi skor maksimum!" sqref="Q237">
      <formula1>P237</formula1>
    </dataValidation>
    <dataValidation type="decimal" errorStyle="stop" operator="lessThanOrEqual" allowBlank="1" showDropDown="1" showInputMessage="0" showErrorMessage="1" error="Skor tidak boleh melebihi skor maksimum!" sqref="E238">
      <formula1>D238</formula1>
    </dataValidation>
    <dataValidation type="decimal" errorStyle="stop" operator="lessThanOrEqual" allowBlank="1" showDropDown="1" showInputMessage="0" showErrorMessage="1" error="Skor tidak boleh melebihi skor maksimum!" sqref="H238">
      <formula1>G238</formula1>
    </dataValidation>
    <dataValidation type="decimal" errorStyle="stop" operator="lessThanOrEqual" allowBlank="1" showDropDown="1" showInputMessage="0" showErrorMessage="1" error="Skor tidak boleh melebihi skor maksimum!" sqref="K238">
      <formula1>J238</formula1>
    </dataValidation>
    <dataValidation type="decimal" errorStyle="stop" operator="lessThanOrEqual" allowBlank="1" showDropDown="1" showInputMessage="0" showErrorMessage="1" error="Skor tidak boleh melebihi skor maksimum!" sqref="N238">
      <formula1>M238</formula1>
    </dataValidation>
    <dataValidation type="decimal" errorStyle="stop" operator="lessThanOrEqual" allowBlank="1" showDropDown="1" showInputMessage="0" showErrorMessage="1" error="Skor tidak boleh melebihi skor maksimum!" sqref="Q238">
      <formula1>P238</formula1>
    </dataValidation>
    <dataValidation type="decimal" errorStyle="stop" operator="lessThanOrEqual" allowBlank="1" showDropDown="1" showInputMessage="0" showErrorMessage="1" error="Skor tidak boleh melebihi skor maksimum!" sqref="E239">
      <formula1>D239</formula1>
    </dataValidation>
    <dataValidation type="decimal" errorStyle="stop" operator="lessThanOrEqual" allowBlank="1" showDropDown="1" showInputMessage="0" showErrorMessage="1" error="Skor tidak boleh melebihi skor maksimum!" sqref="H239">
      <formula1>G239</formula1>
    </dataValidation>
    <dataValidation type="decimal" errorStyle="stop" operator="lessThanOrEqual" allowBlank="1" showDropDown="1" showInputMessage="0" showErrorMessage="1" error="Skor tidak boleh melebihi skor maksimum!" sqref="K239">
      <formula1>J239</formula1>
    </dataValidation>
    <dataValidation type="decimal" errorStyle="stop" operator="lessThanOrEqual" allowBlank="1" showDropDown="1" showInputMessage="0" showErrorMessage="1" error="Skor tidak boleh melebihi skor maksimum!" sqref="N239">
      <formula1>M239</formula1>
    </dataValidation>
    <dataValidation type="decimal" errorStyle="stop" operator="lessThanOrEqual" allowBlank="1" showDropDown="1" showInputMessage="0" showErrorMessage="1" error="Skor tidak boleh melebihi skor maksimum!" sqref="Q239">
      <formula1>P239</formula1>
    </dataValidation>
    <dataValidation type="decimal" errorStyle="stop" operator="lessThanOrEqual" allowBlank="1" showDropDown="1" showInputMessage="0" showErrorMessage="1" error="Skor tidak boleh melebihi skor maksimum!" sqref="E240">
      <formula1>D240</formula1>
    </dataValidation>
    <dataValidation type="decimal" errorStyle="stop" operator="lessThanOrEqual" allowBlank="1" showDropDown="1" showInputMessage="0" showErrorMessage="1" error="Skor tidak boleh melebihi skor maksimum!" sqref="H240">
      <formula1>G240</formula1>
    </dataValidation>
    <dataValidation type="decimal" errorStyle="stop" operator="lessThanOrEqual" allowBlank="1" showDropDown="1" showInputMessage="0" showErrorMessage="1" error="Skor tidak boleh melebihi skor maksimum!" sqref="K240">
      <formula1>J240</formula1>
    </dataValidation>
    <dataValidation type="decimal" errorStyle="stop" operator="lessThanOrEqual" allowBlank="1" showDropDown="1" showInputMessage="0" showErrorMessage="1" error="Skor tidak boleh melebihi skor maksimum!" sqref="N240">
      <formula1>M240</formula1>
    </dataValidation>
    <dataValidation type="decimal" errorStyle="stop" operator="lessThanOrEqual" allowBlank="1" showDropDown="1" showInputMessage="0" showErrorMessage="1" error="Skor tidak boleh melebihi skor maksimum!" sqref="Q240">
      <formula1>P240</formula1>
    </dataValidation>
    <dataValidation type="decimal" errorStyle="stop" operator="lessThanOrEqual" allowBlank="1" showDropDown="1" showInputMessage="0" showErrorMessage="1" error="Skor tidak boleh melebihi skor maksimum!" sqref="E241">
      <formula1>D241</formula1>
    </dataValidation>
    <dataValidation type="decimal" errorStyle="stop" operator="lessThanOrEqual" allowBlank="1" showDropDown="1" showInputMessage="0" showErrorMessage="1" error="Skor tidak boleh melebihi skor maksimum!" sqref="H241">
      <formula1>G241</formula1>
    </dataValidation>
    <dataValidation type="decimal" errorStyle="stop" operator="lessThanOrEqual" allowBlank="1" showDropDown="1" showInputMessage="0" showErrorMessage="1" error="Skor tidak boleh melebihi skor maksimum!" sqref="K241">
      <formula1>J241</formula1>
    </dataValidation>
    <dataValidation type="decimal" errorStyle="stop" operator="lessThanOrEqual" allowBlank="1" showDropDown="1" showInputMessage="0" showErrorMessage="1" error="Skor tidak boleh melebihi skor maksimum!" sqref="N241">
      <formula1>M241</formula1>
    </dataValidation>
    <dataValidation type="decimal" errorStyle="stop" operator="lessThanOrEqual" allowBlank="1" showDropDown="1" showInputMessage="0" showErrorMessage="1" error="Skor tidak boleh melebihi skor maksimum!" sqref="Q241">
      <formula1>P241</formula1>
    </dataValidation>
    <dataValidation type="decimal" errorStyle="stop" operator="lessThanOrEqual" allowBlank="1" showDropDown="1" showInputMessage="0" showErrorMessage="1" error="Skor tidak boleh melebihi skor maksimum!" sqref="E242">
      <formula1>D242</formula1>
    </dataValidation>
    <dataValidation type="decimal" errorStyle="stop" operator="lessThanOrEqual" allowBlank="1" showDropDown="1" showInputMessage="0" showErrorMessage="1" error="Skor tidak boleh melebihi skor maksimum!" sqref="H242">
      <formula1>G242</formula1>
    </dataValidation>
    <dataValidation type="decimal" errorStyle="stop" operator="lessThanOrEqual" allowBlank="1" showDropDown="1" showInputMessage="0" showErrorMessage="1" error="Skor tidak boleh melebihi skor maksimum!" sqref="K242">
      <formula1>J242</formula1>
    </dataValidation>
    <dataValidation type="decimal" errorStyle="stop" operator="lessThanOrEqual" allowBlank="1" showDropDown="1" showInputMessage="0" showErrorMessage="1" error="Skor tidak boleh melebihi skor maksimum!" sqref="N242">
      <formula1>M242</formula1>
    </dataValidation>
    <dataValidation type="decimal" errorStyle="stop" operator="lessThanOrEqual" allowBlank="1" showDropDown="1" showInputMessage="0" showErrorMessage="1" error="Skor tidak boleh melebihi skor maksimum!" sqref="Q242">
      <formula1>P242</formula1>
    </dataValidation>
    <dataValidation type="decimal" errorStyle="stop" operator="lessThanOrEqual" allowBlank="1" showDropDown="1" showInputMessage="0" showErrorMessage="1" error="Skor tidak boleh melebihi skor maksimum!" sqref="E243">
      <formula1>D243</formula1>
    </dataValidation>
    <dataValidation type="decimal" errorStyle="stop" operator="lessThanOrEqual" allowBlank="1" showDropDown="1" showInputMessage="0" showErrorMessage="1" error="Skor tidak boleh melebihi skor maksimum!" sqref="H243">
      <formula1>G243</formula1>
    </dataValidation>
    <dataValidation type="decimal" errorStyle="stop" operator="lessThanOrEqual" allowBlank="1" showDropDown="1" showInputMessage="0" showErrorMessage="1" error="Skor tidak boleh melebihi skor maksimum!" sqref="K243">
      <formula1>J243</formula1>
    </dataValidation>
    <dataValidation type="decimal" errorStyle="stop" operator="lessThanOrEqual" allowBlank="1" showDropDown="1" showInputMessage="0" showErrorMessage="1" error="Skor tidak boleh melebihi skor maksimum!" sqref="N243">
      <formula1>M243</formula1>
    </dataValidation>
    <dataValidation type="decimal" errorStyle="stop" operator="lessThanOrEqual" allowBlank="1" showDropDown="1" showInputMessage="0" showErrorMessage="1" error="Skor tidak boleh melebihi skor maksimum!" sqref="Q243">
      <formula1>P243</formula1>
    </dataValidation>
    <dataValidation type="decimal" errorStyle="stop" operator="lessThanOrEqual" allowBlank="1" showDropDown="1" showInputMessage="0" showErrorMessage="1" error="Skor tidak boleh melebihi skor maksimum!" sqref="E244">
      <formula1>D244</formula1>
    </dataValidation>
    <dataValidation type="decimal" errorStyle="stop" operator="lessThanOrEqual" allowBlank="1" showDropDown="1" showInputMessage="0" showErrorMessage="1" error="Skor tidak boleh melebihi skor maksimum!" sqref="H244">
      <formula1>G244</formula1>
    </dataValidation>
    <dataValidation type="decimal" errorStyle="stop" operator="lessThanOrEqual" allowBlank="1" showDropDown="1" showInputMessage="0" showErrorMessage="1" error="Skor tidak boleh melebihi skor maksimum!" sqref="K244">
      <formula1>J244</formula1>
    </dataValidation>
    <dataValidation type="decimal" errorStyle="stop" operator="lessThanOrEqual" allowBlank="1" showDropDown="1" showInputMessage="0" showErrorMessage="1" error="Skor tidak boleh melebihi skor maksimum!" sqref="N244">
      <formula1>M244</formula1>
    </dataValidation>
    <dataValidation type="decimal" errorStyle="stop" operator="lessThanOrEqual" allowBlank="1" showDropDown="1" showInputMessage="0" showErrorMessage="1" error="Skor tidak boleh melebihi skor maksimum!" sqref="Q244">
      <formula1>P244</formula1>
    </dataValidation>
    <dataValidation type="decimal" errorStyle="stop" operator="lessThanOrEqual" allowBlank="1" showDropDown="1" showInputMessage="0" showErrorMessage="1" error="Skor tidak boleh melebihi skor maksimum!" sqref="E245">
      <formula1>D245</formula1>
    </dataValidation>
    <dataValidation type="decimal" errorStyle="stop" operator="lessThanOrEqual" allowBlank="1" showDropDown="1" showInputMessage="0" showErrorMessage="1" error="Skor tidak boleh melebihi skor maksimum!" sqref="H245">
      <formula1>G245</formula1>
    </dataValidation>
    <dataValidation type="decimal" errorStyle="stop" operator="lessThanOrEqual" allowBlank="1" showDropDown="1" showInputMessage="0" showErrorMessage="1" error="Skor tidak boleh melebihi skor maksimum!" sqref="K245">
      <formula1>J245</formula1>
    </dataValidation>
    <dataValidation type="decimal" errorStyle="stop" operator="lessThanOrEqual" allowBlank="1" showDropDown="1" showInputMessage="0" showErrorMessage="1" error="Skor tidak boleh melebihi skor maksimum!" sqref="N245">
      <formula1>M245</formula1>
    </dataValidation>
    <dataValidation type="decimal" errorStyle="stop" operator="lessThanOrEqual" allowBlank="1" showDropDown="1" showInputMessage="0" showErrorMessage="1" error="Skor tidak boleh melebihi skor maksimum!" sqref="Q245">
      <formula1>P245</formula1>
    </dataValidation>
    <dataValidation type="decimal" errorStyle="stop" operator="lessThanOrEqual" allowBlank="1" showDropDown="1" showInputMessage="0" showErrorMessage="1" error="Skor tidak boleh melebihi skor maksimum!" sqref="E246">
      <formula1>D246</formula1>
    </dataValidation>
    <dataValidation type="decimal" errorStyle="stop" operator="lessThanOrEqual" allowBlank="1" showDropDown="1" showInputMessage="0" showErrorMessage="1" error="Skor tidak boleh melebihi skor maksimum!" sqref="H246">
      <formula1>G246</formula1>
    </dataValidation>
    <dataValidation type="decimal" errorStyle="stop" operator="lessThanOrEqual" allowBlank="1" showDropDown="1" showInputMessage="0" showErrorMessage="1" error="Skor tidak boleh melebihi skor maksimum!" sqref="K246">
      <formula1>J246</formula1>
    </dataValidation>
    <dataValidation type="decimal" errorStyle="stop" operator="lessThanOrEqual" allowBlank="1" showDropDown="1" showInputMessage="0" showErrorMessage="1" error="Skor tidak boleh melebihi skor maksimum!" sqref="N246">
      <formula1>M246</formula1>
    </dataValidation>
    <dataValidation type="decimal" errorStyle="stop" operator="lessThanOrEqual" allowBlank="1" showDropDown="1" showInputMessage="0" showErrorMessage="1" error="Skor tidak boleh melebihi skor maksimum!" sqref="Q246">
      <formula1>P246</formula1>
    </dataValidation>
    <dataValidation type="decimal" errorStyle="stop" operator="lessThanOrEqual" allowBlank="1" showDropDown="1" showInputMessage="0" showErrorMessage="1" error="Skor tidak boleh melebihi skor maksimum!" sqref="E247">
      <formula1>D247</formula1>
    </dataValidation>
    <dataValidation type="decimal" errorStyle="stop" operator="lessThanOrEqual" allowBlank="1" showDropDown="1" showInputMessage="0" showErrorMessage="1" error="Skor tidak boleh melebihi skor maksimum!" sqref="H247">
      <formula1>G247</formula1>
    </dataValidation>
    <dataValidation type="decimal" errorStyle="stop" operator="lessThanOrEqual" allowBlank="1" showDropDown="1" showInputMessage="0" showErrorMessage="1" error="Skor tidak boleh melebihi skor maksimum!" sqref="K247">
      <formula1>J247</formula1>
    </dataValidation>
    <dataValidation type="decimal" errorStyle="stop" operator="lessThanOrEqual" allowBlank="1" showDropDown="1" showInputMessage="0" showErrorMessage="1" error="Skor tidak boleh melebihi skor maksimum!" sqref="N247">
      <formula1>M247</formula1>
    </dataValidation>
    <dataValidation type="decimal" errorStyle="stop" operator="lessThanOrEqual" allowBlank="1" showDropDown="1" showInputMessage="0" showErrorMessage="1" error="Skor tidak boleh melebihi skor maksimum!" sqref="Q247">
      <formula1>P247</formula1>
    </dataValidation>
    <dataValidation type="decimal" errorStyle="stop" operator="lessThanOrEqual" allowBlank="1" showDropDown="1" showInputMessage="0" showErrorMessage="1" error="Skor tidak boleh melebihi skor maksimum!" sqref="E248">
      <formula1>D248</formula1>
    </dataValidation>
    <dataValidation type="decimal" errorStyle="stop" operator="lessThanOrEqual" allowBlank="1" showDropDown="1" showInputMessage="0" showErrorMessage="1" error="Skor tidak boleh melebihi skor maksimum!" sqref="H248">
      <formula1>G248</formula1>
    </dataValidation>
    <dataValidation type="decimal" errorStyle="stop" operator="lessThanOrEqual" allowBlank="1" showDropDown="1" showInputMessage="0" showErrorMessage="1" error="Skor tidak boleh melebihi skor maksimum!" sqref="K248">
      <formula1>J248</formula1>
    </dataValidation>
    <dataValidation type="decimal" errorStyle="stop" operator="lessThanOrEqual" allowBlank="1" showDropDown="1" showInputMessage="0" showErrorMessage="1" error="Skor tidak boleh melebihi skor maksimum!" sqref="N248">
      <formula1>M248</formula1>
    </dataValidation>
    <dataValidation type="decimal" errorStyle="stop" operator="lessThanOrEqual" allowBlank="1" showDropDown="1" showInputMessage="0" showErrorMessage="1" error="Skor tidak boleh melebihi skor maksimum!" sqref="Q248">
      <formula1>P248</formula1>
    </dataValidation>
    <dataValidation type="decimal" errorStyle="stop" operator="lessThanOrEqual" allowBlank="1" showDropDown="1" showInputMessage="0" showErrorMessage="1" error="Skor tidak boleh melebihi skor maksimum!" sqref="E249">
      <formula1>D249</formula1>
    </dataValidation>
    <dataValidation type="decimal" errorStyle="stop" operator="lessThanOrEqual" allowBlank="1" showDropDown="1" showInputMessage="0" showErrorMessage="1" error="Skor tidak boleh melebihi skor maksimum!" sqref="H249">
      <formula1>G249</formula1>
    </dataValidation>
    <dataValidation type="decimal" errorStyle="stop" operator="lessThanOrEqual" allowBlank="1" showDropDown="1" showInputMessage="0" showErrorMessage="1" error="Skor tidak boleh melebihi skor maksimum!" sqref="K249">
      <formula1>J249</formula1>
    </dataValidation>
    <dataValidation type="decimal" errorStyle="stop" operator="lessThanOrEqual" allowBlank="1" showDropDown="1" showInputMessage="0" showErrorMessage="1" error="Skor tidak boleh melebihi skor maksimum!" sqref="N249">
      <formula1>M249</formula1>
    </dataValidation>
    <dataValidation type="decimal" errorStyle="stop" operator="lessThanOrEqual" allowBlank="1" showDropDown="1" showInputMessage="0" showErrorMessage="1" error="Skor tidak boleh melebihi skor maksimum!" sqref="Q249">
      <formula1>P249</formula1>
    </dataValidation>
    <dataValidation type="decimal" errorStyle="stop" operator="lessThanOrEqual" allowBlank="1" showDropDown="1" showInputMessage="0" showErrorMessage="1" error="Skor tidak boleh melebihi skor maksimum!" sqref="E250">
      <formula1>D250</formula1>
    </dataValidation>
    <dataValidation type="decimal" errorStyle="stop" operator="lessThanOrEqual" allowBlank="1" showDropDown="1" showInputMessage="0" showErrorMessage="1" error="Skor tidak boleh melebihi skor maksimum!" sqref="H250">
      <formula1>G250</formula1>
    </dataValidation>
    <dataValidation type="decimal" errorStyle="stop" operator="lessThanOrEqual" allowBlank="1" showDropDown="1" showInputMessage="0" showErrorMessage="1" error="Skor tidak boleh melebihi skor maksimum!" sqref="K250">
      <formula1>J250</formula1>
    </dataValidation>
    <dataValidation type="decimal" errorStyle="stop" operator="lessThanOrEqual" allowBlank="1" showDropDown="1" showInputMessage="0" showErrorMessage="1" error="Skor tidak boleh melebihi skor maksimum!" sqref="N250">
      <formula1>M250</formula1>
    </dataValidation>
    <dataValidation type="decimal" errorStyle="stop" operator="lessThanOrEqual" allowBlank="1" showDropDown="1" showInputMessage="0" showErrorMessage="1" error="Skor tidak boleh melebihi skor maksimum!" sqref="Q250">
      <formula1>P250</formula1>
    </dataValidation>
    <dataValidation type="decimal" errorStyle="stop" operator="lessThanOrEqual" allowBlank="1" showDropDown="1" showInputMessage="0" showErrorMessage="1" error="Skor tidak boleh melebihi skor maksimum!" sqref="E251">
      <formula1>D251</formula1>
    </dataValidation>
    <dataValidation type="decimal" errorStyle="stop" operator="lessThanOrEqual" allowBlank="1" showDropDown="1" showInputMessage="0" showErrorMessage="1" error="Skor tidak boleh melebihi skor maksimum!" sqref="H251">
      <formula1>G251</formula1>
    </dataValidation>
    <dataValidation type="decimal" errorStyle="stop" operator="lessThanOrEqual" allowBlank="1" showDropDown="1" showInputMessage="0" showErrorMessage="1" error="Skor tidak boleh melebihi skor maksimum!" sqref="K251">
      <formula1>J251</formula1>
    </dataValidation>
    <dataValidation type="decimal" errorStyle="stop" operator="lessThanOrEqual" allowBlank="1" showDropDown="1" showInputMessage="0" showErrorMessage="1" error="Skor tidak boleh melebihi skor maksimum!" sqref="N251">
      <formula1>M251</formula1>
    </dataValidation>
    <dataValidation type="decimal" errorStyle="stop" operator="lessThanOrEqual" allowBlank="1" showDropDown="1" showInputMessage="0" showErrorMessage="1" error="Skor tidak boleh melebihi skor maksimum!" sqref="Q251">
      <formula1>P251</formula1>
    </dataValidation>
    <dataValidation type="decimal" errorStyle="stop" operator="lessThanOrEqual" allowBlank="1" showDropDown="1" showInputMessage="0" showErrorMessage="1" error="Skor tidak boleh melebihi skor maksimum!" sqref="E252">
      <formula1>D252</formula1>
    </dataValidation>
    <dataValidation type="decimal" errorStyle="stop" operator="lessThanOrEqual" allowBlank="1" showDropDown="1" showInputMessage="0" showErrorMessage="1" error="Skor tidak boleh melebihi skor maksimum!" sqref="H252">
      <formula1>G252</formula1>
    </dataValidation>
    <dataValidation type="decimal" errorStyle="stop" operator="lessThanOrEqual" allowBlank="1" showDropDown="1" showInputMessage="0" showErrorMessage="1" error="Skor tidak boleh melebihi skor maksimum!" sqref="K252">
      <formula1>J252</formula1>
    </dataValidation>
    <dataValidation type="decimal" errorStyle="stop" operator="lessThanOrEqual" allowBlank="1" showDropDown="1" showInputMessage="0" showErrorMessage="1" error="Skor tidak boleh melebihi skor maksimum!" sqref="N252">
      <formula1>M252</formula1>
    </dataValidation>
    <dataValidation type="decimal" errorStyle="stop" operator="lessThanOrEqual" allowBlank="1" showDropDown="1" showInputMessage="0" showErrorMessage="1" error="Skor tidak boleh melebihi skor maksimum!" sqref="Q252">
      <formula1>P252</formula1>
    </dataValidation>
    <dataValidation type="decimal" errorStyle="stop" operator="lessThanOrEqual" allowBlank="1" showDropDown="1" showInputMessage="0" showErrorMessage="1" error="Skor tidak boleh melebihi skor maksimum!" sqref="E253">
      <formula1>D253</formula1>
    </dataValidation>
    <dataValidation type="decimal" errorStyle="stop" operator="lessThanOrEqual" allowBlank="1" showDropDown="1" showInputMessage="0" showErrorMessage="1" error="Skor tidak boleh melebihi skor maksimum!" sqref="H253">
      <formula1>G253</formula1>
    </dataValidation>
    <dataValidation type="decimal" errorStyle="stop" operator="lessThanOrEqual" allowBlank="1" showDropDown="1" showInputMessage="0" showErrorMessage="1" error="Skor tidak boleh melebihi skor maksimum!" sqref="K253">
      <formula1>J253</formula1>
    </dataValidation>
    <dataValidation type="decimal" errorStyle="stop" operator="lessThanOrEqual" allowBlank="1" showDropDown="1" showInputMessage="0" showErrorMessage="1" error="Skor tidak boleh melebihi skor maksimum!" sqref="N253">
      <formula1>M253</formula1>
    </dataValidation>
    <dataValidation type="decimal" errorStyle="stop" operator="lessThanOrEqual" allowBlank="1" showDropDown="1" showInputMessage="0" showErrorMessage="1" error="Skor tidak boleh melebihi skor maksimum!" sqref="Q253">
      <formula1>P253</formula1>
    </dataValidation>
    <dataValidation type="decimal" errorStyle="stop" operator="lessThanOrEqual" allowBlank="1" showDropDown="1" showInputMessage="0" showErrorMessage="1" error="Skor tidak boleh melebihi skor maksimum!" sqref="E254">
      <formula1>D254</formula1>
    </dataValidation>
    <dataValidation type="decimal" errorStyle="stop" operator="lessThanOrEqual" allowBlank="1" showDropDown="1" showInputMessage="0" showErrorMessage="1" error="Skor tidak boleh melebihi skor maksimum!" sqref="H254">
      <formula1>G254</formula1>
    </dataValidation>
    <dataValidation type="decimal" errorStyle="stop" operator="lessThanOrEqual" allowBlank="1" showDropDown="1" showInputMessage="0" showErrorMessage="1" error="Skor tidak boleh melebihi skor maksimum!" sqref="K254">
      <formula1>J254</formula1>
    </dataValidation>
    <dataValidation type="decimal" errorStyle="stop" operator="lessThanOrEqual" allowBlank="1" showDropDown="1" showInputMessage="0" showErrorMessage="1" error="Skor tidak boleh melebihi skor maksimum!" sqref="N254">
      <formula1>M254</formula1>
    </dataValidation>
    <dataValidation type="decimal" errorStyle="stop" operator="lessThanOrEqual" allowBlank="1" showDropDown="1" showInputMessage="0" showErrorMessage="1" error="Skor tidak boleh melebihi skor maksimum!" sqref="Q254">
      <formula1>P254</formula1>
    </dataValidation>
    <dataValidation type="decimal" errorStyle="stop" operator="lessThanOrEqual" allowBlank="1" showDropDown="1" showInputMessage="0" showErrorMessage="1" error="Skor tidak boleh melebihi skor maksimum!" sqref="E255">
      <formula1>D255</formula1>
    </dataValidation>
    <dataValidation type="decimal" errorStyle="stop" operator="lessThanOrEqual" allowBlank="1" showDropDown="1" showInputMessage="0" showErrorMessage="1" error="Skor tidak boleh melebihi skor maksimum!" sqref="H255">
      <formula1>G255</formula1>
    </dataValidation>
    <dataValidation type="decimal" errorStyle="stop" operator="lessThanOrEqual" allowBlank="1" showDropDown="1" showInputMessage="0" showErrorMessage="1" error="Skor tidak boleh melebihi skor maksimum!" sqref="K255">
      <formula1>J255</formula1>
    </dataValidation>
    <dataValidation type="decimal" errorStyle="stop" operator="lessThanOrEqual" allowBlank="1" showDropDown="1" showInputMessage="0" showErrorMessage="1" error="Skor tidak boleh melebihi skor maksimum!" sqref="N255">
      <formula1>M255</formula1>
    </dataValidation>
    <dataValidation type="decimal" errorStyle="stop" operator="lessThanOrEqual" allowBlank="1" showDropDown="1" showInputMessage="0" showErrorMessage="1" error="Skor tidak boleh melebihi skor maksimum!" sqref="Q255">
      <formula1>P255</formula1>
    </dataValidation>
    <dataValidation type="decimal" errorStyle="stop" operator="lessThanOrEqual" allowBlank="1" showDropDown="1" showInputMessage="0" showErrorMessage="1" error="Skor tidak boleh melebihi skor maksimum!" sqref="E256">
      <formula1>D256</formula1>
    </dataValidation>
    <dataValidation type="decimal" errorStyle="stop" operator="lessThanOrEqual" allowBlank="1" showDropDown="1" showInputMessage="0" showErrorMessage="1" error="Skor tidak boleh melebihi skor maksimum!" sqref="H256">
      <formula1>G256</formula1>
    </dataValidation>
    <dataValidation type="decimal" errorStyle="stop" operator="lessThanOrEqual" allowBlank="1" showDropDown="1" showInputMessage="0" showErrorMessage="1" error="Skor tidak boleh melebihi skor maksimum!" sqref="K256">
      <formula1>J256</formula1>
    </dataValidation>
    <dataValidation type="decimal" errorStyle="stop" operator="lessThanOrEqual" allowBlank="1" showDropDown="1" showInputMessage="0" showErrorMessage="1" error="Skor tidak boleh melebihi skor maksimum!" sqref="N256">
      <formula1>M256</formula1>
    </dataValidation>
    <dataValidation type="decimal" errorStyle="stop" operator="lessThanOrEqual" allowBlank="1" showDropDown="1" showInputMessage="0" showErrorMessage="1" error="Skor tidak boleh melebihi skor maksimum!" sqref="Q256">
      <formula1>P256</formula1>
    </dataValidation>
    <dataValidation type="decimal" errorStyle="stop" operator="lessThanOrEqual" allowBlank="1" showDropDown="1" showInputMessage="0" showErrorMessage="1" error="Skor tidak boleh melebihi skor maksimum!" sqref="E257">
      <formula1>D257</formula1>
    </dataValidation>
    <dataValidation type="decimal" errorStyle="stop" operator="lessThanOrEqual" allowBlank="1" showDropDown="1" showInputMessage="0" showErrorMessage="1" error="Skor tidak boleh melebihi skor maksimum!" sqref="H257">
      <formula1>G257</formula1>
    </dataValidation>
    <dataValidation type="decimal" errorStyle="stop" operator="lessThanOrEqual" allowBlank="1" showDropDown="1" showInputMessage="0" showErrorMessage="1" error="Skor tidak boleh melebihi skor maksimum!" sqref="K257">
      <formula1>J257</formula1>
    </dataValidation>
    <dataValidation type="decimal" errorStyle="stop" operator="lessThanOrEqual" allowBlank="1" showDropDown="1" showInputMessage="0" showErrorMessage="1" error="Skor tidak boleh melebihi skor maksimum!" sqref="N257">
      <formula1>M257</formula1>
    </dataValidation>
    <dataValidation type="decimal" errorStyle="stop" operator="lessThanOrEqual" allowBlank="1" showDropDown="1" showInputMessage="0" showErrorMessage="1" error="Skor tidak boleh melebihi skor maksimum!" sqref="Q257">
      <formula1>P257</formula1>
    </dataValidation>
    <dataValidation type="decimal" errorStyle="stop" operator="lessThanOrEqual" allowBlank="1" showDropDown="1" showInputMessage="0" showErrorMessage="1" error="Skor tidak boleh melebihi skor maksimum!" sqref="E258">
      <formula1>D258</formula1>
    </dataValidation>
    <dataValidation type="decimal" errorStyle="stop" operator="lessThanOrEqual" allowBlank="1" showDropDown="1" showInputMessage="0" showErrorMessage="1" error="Skor tidak boleh melebihi skor maksimum!" sqref="H258">
      <formula1>G258</formula1>
    </dataValidation>
    <dataValidation type="decimal" errorStyle="stop" operator="lessThanOrEqual" allowBlank="1" showDropDown="1" showInputMessage="0" showErrorMessage="1" error="Skor tidak boleh melebihi skor maksimum!" sqref="K258">
      <formula1>J258</formula1>
    </dataValidation>
    <dataValidation type="decimal" errorStyle="stop" operator="lessThanOrEqual" allowBlank="1" showDropDown="1" showInputMessage="0" showErrorMessage="1" error="Skor tidak boleh melebihi skor maksimum!" sqref="N258">
      <formula1>M258</formula1>
    </dataValidation>
    <dataValidation type="decimal" errorStyle="stop" operator="lessThanOrEqual" allowBlank="1" showDropDown="1" showInputMessage="0" showErrorMessage="1" error="Skor tidak boleh melebihi skor maksimum!" sqref="Q258">
      <formula1>P258</formula1>
    </dataValidation>
    <dataValidation type="decimal" errorStyle="stop" operator="lessThanOrEqual" allowBlank="1" showDropDown="1" showInputMessage="0" showErrorMessage="1" error="Skor tidak boleh melebihi skor maksimum!" sqref="E259">
      <formula1>D259</formula1>
    </dataValidation>
    <dataValidation type="decimal" errorStyle="stop" operator="lessThanOrEqual" allowBlank="1" showDropDown="1" showInputMessage="0" showErrorMessage="1" error="Skor tidak boleh melebihi skor maksimum!" sqref="H259">
      <formula1>G259</formula1>
    </dataValidation>
    <dataValidation type="decimal" errorStyle="stop" operator="lessThanOrEqual" allowBlank="1" showDropDown="1" showInputMessage="0" showErrorMessage="1" error="Skor tidak boleh melebihi skor maksimum!" sqref="K259">
      <formula1>J259</formula1>
    </dataValidation>
    <dataValidation type="decimal" errorStyle="stop" operator="lessThanOrEqual" allowBlank="1" showDropDown="1" showInputMessage="0" showErrorMessage="1" error="Skor tidak boleh melebihi skor maksimum!" sqref="N259">
      <formula1>M259</formula1>
    </dataValidation>
    <dataValidation type="decimal" errorStyle="stop" operator="lessThanOrEqual" allowBlank="1" showDropDown="1" showInputMessage="0" showErrorMessage="1" error="Skor tidak boleh melebihi skor maksimum!" sqref="Q259">
      <formula1>P259</formula1>
    </dataValidation>
    <dataValidation type="decimal" errorStyle="stop" operator="lessThanOrEqual" allowBlank="1" showDropDown="1" showInputMessage="0" showErrorMessage="1" error="Skor tidak boleh melebihi skor maksimum!" sqref="E260">
      <formula1>D260</formula1>
    </dataValidation>
    <dataValidation type="decimal" errorStyle="stop" operator="lessThanOrEqual" allowBlank="1" showDropDown="1" showInputMessage="0" showErrorMessage="1" error="Skor tidak boleh melebihi skor maksimum!" sqref="H260">
      <formula1>G260</formula1>
    </dataValidation>
    <dataValidation type="decimal" errorStyle="stop" operator="lessThanOrEqual" allowBlank="1" showDropDown="1" showInputMessage="0" showErrorMessage="1" error="Skor tidak boleh melebihi skor maksimum!" sqref="K260">
      <formula1>J260</formula1>
    </dataValidation>
    <dataValidation type="decimal" errorStyle="stop" operator="lessThanOrEqual" allowBlank="1" showDropDown="1" showInputMessage="0" showErrorMessage="1" error="Skor tidak boleh melebihi skor maksimum!" sqref="N260">
      <formula1>M260</formula1>
    </dataValidation>
    <dataValidation type="decimal" errorStyle="stop" operator="lessThanOrEqual" allowBlank="1" showDropDown="1" showInputMessage="0" showErrorMessage="1" error="Skor tidak boleh melebihi skor maksimum!" sqref="Q260">
      <formula1>P260</formula1>
    </dataValidation>
    <dataValidation type="decimal" errorStyle="stop" operator="lessThanOrEqual" allowBlank="1" showDropDown="1" showInputMessage="0" showErrorMessage="1" error="Skor tidak boleh melebihi skor maksimum!" sqref="E261">
      <formula1>D261</formula1>
    </dataValidation>
    <dataValidation type="decimal" errorStyle="stop" operator="lessThanOrEqual" allowBlank="1" showDropDown="1" showInputMessage="0" showErrorMessage="1" error="Skor tidak boleh melebihi skor maksimum!" sqref="H261">
      <formula1>G261</formula1>
    </dataValidation>
    <dataValidation type="decimal" errorStyle="stop" operator="lessThanOrEqual" allowBlank="1" showDropDown="1" showInputMessage="0" showErrorMessage="1" error="Skor tidak boleh melebihi skor maksimum!" sqref="K261">
      <formula1>J261</formula1>
    </dataValidation>
    <dataValidation type="decimal" errorStyle="stop" operator="lessThanOrEqual" allowBlank="1" showDropDown="1" showInputMessage="0" showErrorMessage="1" error="Skor tidak boleh melebihi skor maksimum!" sqref="N261">
      <formula1>M261</formula1>
    </dataValidation>
    <dataValidation type="decimal" errorStyle="stop" operator="lessThanOrEqual" allowBlank="1" showDropDown="1" showInputMessage="0" showErrorMessage="1" error="Skor tidak boleh melebihi skor maksimum!" sqref="Q261">
      <formula1>P261</formula1>
    </dataValidation>
    <dataValidation type="decimal" errorStyle="stop" operator="lessThanOrEqual" allowBlank="1" showDropDown="1" showInputMessage="0" showErrorMessage="1" error="Skor tidak boleh melebihi skor maksimum!" sqref="E262">
      <formula1>D262</formula1>
    </dataValidation>
    <dataValidation type="decimal" errorStyle="stop" operator="lessThanOrEqual" allowBlank="1" showDropDown="1" showInputMessage="0" showErrorMessage="1" error="Skor tidak boleh melebihi skor maksimum!" sqref="H262">
      <formula1>G262</formula1>
    </dataValidation>
    <dataValidation type="decimal" errorStyle="stop" operator="lessThanOrEqual" allowBlank="1" showDropDown="1" showInputMessage="0" showErrorMessage="1" error="Skor tidak boleh melebihi skor maksimum!" sqref="K262">
      <formula1>J262</formula1>
    </dataValidation>
    <dataValidation type="decimal" errorStyle="stop" operator="lessThanOrEqual" allowBlank="1" showDropDown="1" showInputMessage="0" showErrorMessage="1" error="Skor tidak boleh melebihi skor maksimum!" sqref="N262">
      <formula1>M262</formula1>
    </dataValidation>
    <dataValidation type="decimal" errorStyle="stop" operator="lessThanOrEqual" allowBlank="1" showDropDown="1" showInputMessage="0" showErrorMessage="1" error="Skor tidak boleh melebihi skor maksimum!" sqref="Q262">
      <formula1>P262</formula1>
    </dataValidation>
    <dataValidation type="decimal" errorStyle="stop" operator="lessThanOrEqual" allowBlank="1" showDropDown="1" showInputMessage="0" showErrorMessage="1" error="Skor tidak boleh melebihi skor maksimum!" sqref="E263">
      <formula1>D263</formula1>
    </dataValidation>
    <dataValidation type="decimal" errorStyle="stop" operator="lessThanOrEqual" allowBlank="1" showDropDown="1" showInputMessage="0" showErrorMessage="1" error="Skor tidak boleh melebihi skor maksimum!" sqref="H263">
      <formula1>G263</formula1>
    </dataValidation>
    <dataValidation type="decimal" errorStyle="stop" operator="lessThanOrEqual" allowBlank="1" showDropDown="1" showInputMessage="0" showErrorMessage="1" error="Skor tidak boleh melebihi skor maksimum!" sqref="K263">
      <formula1>J263</formula1>
    </dataValidation>
    <dataValidation type="decimal" errorStyle="stop" operator="lessThanOrEqual" allowBlank="1" showDropDown="1" showInputMessage="0" showErrorMessage="1" error="Skor tidak boleh melebihi skor maksimum!" sqref="N263">
      <formula1>M263</formula1>
    </dataValidation>
    <dataValidation type="decimal" errorStyle="stop" operator="lessThanOrEqual" allowBlank="1" showDropDown="1" showInputMessage="0" showErrorMessage="1" error="Skor tidak boleh melebihi skor maksimum!" sqref="Q263">
      <formula1>P263</formula1>
    </dataValidation>
    <dataValidation type="decimal" errorStyle="stop" operator="lessThanOrEqual" allowBlank="1" showDropDown="1" showInputMessage="0" showErrorMessage="1" error="Skor tidak boleh melebihi skor maksimum!" sqref="E264">
      <formula1>D264</formula1>
    </dataValidation>
    <dataValidation type="decimal" errorStyle="stop" operator="lessThanOrEqual" allowBlank="1" showDropDown="1" showInputMessage="0" showErrorMessage="1" error="Skor tidak boleh melebihi skor maksimum!" sqref="H264">
      <formula1>G264</formula1>
    </dataValidation>
    <dataValidation type="decimal" errorStyle="stop" operator="lessThanOrEqual" allowBlank="1" showDropDown="1" showInputMessage="0" showErrorMessage="1" error="Skor tidak boleh melebihi skor maksimum!" sqref="K264">
      <formula1>J264</formula1>
    </dataValidation>
    <dataValidation type="decimal" errorStyle="stop" operator="lessThanOrEqual" allowBlank="1" showDropDown="1" showInputMessage="0" showErrorMessage="1" error="Skor tidak boleh melebihi skor maksimum!" sqref="N264">
      <formula1>M264</formula1>
    </dataValidation>
    <dataValidation type="decimal" errorStyle="stop" operator="lessThanOrEqual" allowBlank="1" showDropDown="1" showInputMessage="0" showErrorMessage="1" error="Skor tidak boleh melebihi skor maksimum!" sqref="Q264">
      <formula1>P264</formula1>
    </dataValidation>
    <dataValidation type="decimal" errorStyle="stop" operator="lessThanOrEqual" allowBlank="1" showDropDown="1" showInputMessage="0" showErrorMessage="1" error="Skor tidak boleh melebihi skor maksimum!" sqref="E265">
      <formula1>D265</formula1>
    </dataValidation>
    <dataValidation type="decimal" errorStyle="stop" operator="lessThanOrEqual" allowBlank="1" showDropDown="1" showInputMessage="0" showErrorMessage="1" error="Skor tidak boleh melebihi skor maksimum!" sqref="H265">
      <formula1>G265</formula1>
    </dataValidation>
    <dataValidation type="decimal" errorStyle="stop" operator="lessThanOrEqual" allowBlank="1" showDropDown="1" showInputMessage="0" showErrorMessage="1" error="Skor tidak boleh melebihi skor maksimum!" sqref="K265">
      <formula1>J265</formula1>
    </dataValidation>
    <dataValidation type="decimal" errorStyle="stop" operator="lessThanOrEqual" allowBlank="1" showDropDown="1" showInputMessage="0" showErrorMessage="1" error="Skor tidak boleh melebihi skor maksimum!" sqref="N265">
      <formula1>M265</formula1>
    </dataValidation>
    <dataValidation type="decimal" errorStyle="stop" operator="lessThanOrEqual" allowBlank="1" showDropDown="1" showInputMessage="0" showErrorMessage="1" error="Skor tidak boleh melebihi skor maksimum!" sqref="Q265">
      <formula1>P265</formula1>
    </dataValidation>
    <dataValidation type="decimal" errorStyle="stop" operator="lessThanOrEqual" allowBlank="1" showDropDown="1" showInputMessage="0" showErrorMessage="1" error="Skor tidak boleh melebihi skor maksimum!" sqref="E266">
      <formula1>D266</formula1>
    </dataValidation>
    <dataValidation type="decimal" errorStyle="stop" operator="lessThanOrEqual" allowBlank="1" showDropDown="1" showInputMessage="0" showErrorMessage="1" error="Skor tidak boleh melebihi skor maksimum!" sqref="H266">
      <formula1>G266</formula1>
    </dataValidation>
    <dataValidation type="decimal" errorStyle="stop" operator="lessThanOrEqual" allowBlank="1" showDropDown="1" showInputMessage="0" showErrorMessage="1" error="Skor tidak boleh melebihi skor maksimum!" sqref="K266">
      <formula1>J266</formula1>
    </dataValidation>
    <dataValidation type="decimal" errorStyle="stop" operator="lessThanOrEqual" allowBlank="1" showDropDown="1" showInputMessage="0" showErrorMessage="1" error="Skor tidak boleh melebihi skor maksimum!" sqref="N266">
      <formula1>M266</formula1>
    </dataValidation>
    <dataValidation type="decimal" errorStyle="stop" operator="lessThanOrEqual" allowBlank="1" showDropDown="1" showInputMessage="0" showErrorMessage="1" error="Skor tidak boleh melebihi skor maksimum!" sqref="Q266">
      <formula1>P266</formula1>
    </dataValidation>
    <dataValidation type="decimal" errorStyle="stop" operator="lessThanOrEqual" allowBlank="1" showDropDown="1" showInputMessage="0" showErrorMessage="1" error="Skor tidak boleh melebihi skor maksimum!" sqref="E267">
      <formula1>D267</formula1>
    </dataValidation>
    <dataValidation type="decimal" errorStyle="stop" operator="lessThanOrEqual" allowBlank="1" showDropDown="1" showInputMessage="0" showErrorMessage="1" error="Skor tidak boleh melebihi skor maksimum!" sqref="H267">
      <formula1>G267</formula1>
    </dataValidation>
    <dataValidation type="decimal" errorStyle="stop" operator="lessThanOrEqual" allowBlank="1" showDropDown="1" showInputMessage="0" showErrorMessage="1" error="Skor tidak boleh melebihi skor maksimum!" sqref="K267">
      <formula1>J267</formula1>
    </dataValidation>
    <dataValidation type="decimal" errorStyle="stop" operator="lessThanOrEqual" allowBlank="1" showDropDown="1" showInputMessage="0" showErrorMessage="1" error="Skor tidak boleh melebihi skor maksimum!" sqref="N267">
      <formula1>M267</formula1>
    </dataValidation>
    <dataValidation type="decimal" errorStyle="stop" operator="lessThanOrEqual" allowBlank="1" showDropDown="1" showInputMessage="0" showErrorMessage="1" error="Skor tidak boleh melebihi skor maksimum!" sqref="Q267">
      <formula1>P267</formula1>
    </dataValidation>
    <dataValidation type="decimal" errorStyle="stop" operator="lessThanOrEqual" allowBlank="1" showDropDown="1" showInputMessage="0" showErrorMessage="1" error="Skor tidak boleh melebihi skor maksimum!" sqref="E268">
      <formula1>D268</formula1>
    </dataValidation>
    <dataValidation type="decimal" errorStyle="stop" operator="lessThanOrEqual" allowBlank="1" showDropDown="1" showInputMessage="0" showErrorMessage="1" error="Skor tidak boleh melebihi skor maksimum!" sqref="H268">
      <formula1>G268</formula1>
    </dataValidation>
    <dataValidation type="decimal" errorStyle="stop" operator="lessThanOrEqual" allowBlank="1" showDropDown="1" showInputMessage="0" showErrorMessage="1" error="Skor tidak boleh melebihi skor maksimum!" sqref="K268">
      <formula1>J268</formula1>
    </dataValidation>
    <dataValidation type="decimal" errorStyle="stop" operator="lessThanOrEqual" allowBlank="1" showDropDown="1" showInputMessage="0" showErrorMessage="1" error="Skor tidak boleh melebihi skor maksimum!" sqref="N268">
      <formula1>M268</formula1>
    </dataValidation>
    <dataValidation type="decimal" errorStyle="stop" operator="lessThanOrEqual" allowBlank="1" showDropDown="1" showInputMessage="0" showErrorMessage="1" error="Skor tidak boleh melebihi skor maksimum!" sqref="Q268">
      <formula1>P268</formula1>
    </dataValidation>
    <dataValidation type="decimal" errorStyle="stop" operator="lessThanOrEqual" allowBlank="1" showDropDown="1" showInputMessage="0" showErrorMessage="1" error="Skor tidak boleh melebihi skor maksimum!" sqref="E269">
      <formula1>D269</formula1>
    </dataValidation>
    <dataValidation type="decimal" errorStyle="stop" operator="lessThanOrEqual" allowBlank="1" showDropDown="1" showInputMessage="0" showErrorMessage="1" error="Skor tidak boleh melebihi skor maksimum!" sqref="H269">
      <formula1>G269</formula1>
    </dataValidation>
    <dataValidation type="decimal" errorStyle="stop" operator="lessThanOrEqual" allowBlank="1" showDropDown="1" showInputMessage="0" showErrorMessage="1" error="Skor tidak boleh melebihi skor maksimum!" sqref="K269">
      <formula1>J269</formula1>
    </dataValidation>
    <dataValidation type="decimal" errorStyle="stop" operator="lessThanOrEqual" allowBlank="1" showDropDown="1" showInputMessage="0" showErrorMessage="1" error="Skor tidak boleh melebihi skor maksimum!" sqref="N269">
      <formula1>M269</formula1>
    </dataValidation>
    <dataValidation type="decimal" errorStyle="stop" operator="lessThanOrEqual" allowBlank="1" showDropDown="1" showInputMessage="0" showErrorMessage="1" error="Skor tidak boleh melebihi skor maksimum!" sqref="Q269">
      <formula1>P269</formula1>
    </dataValidation>
    <dataValidation type="decimal" errorStyle="stop" operator="lessThanOrEqual" allowBlank="1" showDropDown="1" showInputMessage="0" showErrorMessage="1" error="Skor tidak boleh melebihi skor maksimum!" sqref="E270">
      <formula1>D270</formula1>
    </dataValidation>
    <dataValidation type="decimal" errorStyle="stop" operator="lessThanOrEqual" allowBlank="1" showDropDown="1" showInputMessage="0" showErrorMessage="1" error="Skor tidak boleh melebihi skor maksimum!" sqref="H270">
      <formula1>G270</formula1>
    </dataValidation>
    <dataValidation type="decimal" errorStyle="stop" operator="lessThanOrEqual" allowBlank="1" showDropDown="1" showInputMessage="0" showErrorMessage="1" error="Skor tidak boleh melebihi skor maksimum!" sqref="K270">
      <formula1>J270</formula1>
    </dataValidation>
    <dataValidation type="decimal" errorStyle="stop" operator="lessThanOrEqual" allowBlank="1" showDropDown="1" showInputMessage="0" showErrorMessage="1" error="Skor tidak boleh melebihi skor maksimum!" sqref="N270">
      <formula1>M270</formula1>
    </dataValidation>
    <dataValidation type="decimal" errorStyle="stop" operator="lessThanOrEqual" allowBlank="1" showDropDown="1" showInputMessage="0" showErrorMessage="1" error="Skor tidak boleh melebihi skor maksimum!" sqref="Q270">
      <formula1>P270</formula1>
    </dataValidation>
    <dataValidation type="decimal" errorStyle="stop" operator="lessThanOrEqual" allowBlank="1" showDropDown="1" showInputMessage="0" showErrorMessage="1" error="Skor tidak boleh melebihi skor maksimum!" sqref="E271">
      <formula1>D271</formula1>
    </dataValidation>
    <dataValidation type="decimal" errorStyle="stop" operator="lessThanOrEqual" allowBlank="1" showDropDown="1" showInputMessage="0" showErrorMessage="1" error="Skor tidak boleh melebihi skor maksimum!" sqref="H271">
      <formula1>G271</formula1>
    </dataValidation>
    <dataValidation type="decimal" errorStyle="stop" operator="lessThanOrEqual" allowBlank="1" showDropDown="1" showInputMessage="0" showErrorMessage="1" error="Skor tidak boleh melebihi skor maksimum!" sqref="K271">
      <formula1>J271</formula1>
    </dataValidation>
    <dataValidation type="decimal" errorStyle="stop" operator="lessThanOrEqual" allowBlank="1" showDropDown="1" showInputMessage="0" showErrorMessage="1" error="Skor tidak boleh melebihi skor maksimum!" sqref="N271">
      <formula1>M271</formula1>
    </dataValidation>
    <dataValidation type="decimal" errorStyle="stop" operator="lessThanOrEqual" allowBlank="1" showDropDown="1" showInputMessage="0" showErrorMessage="1" error="Skor tidak boleh melebihi skor maksimum!" sqref="Q271">
      <formula1>P271</formula1>
    </dataValidation>
    <dataValidation type="decimal" errorStyle="stop" operator="lessThanOrEqual" allowBlank="1" showDropDown="1" showInputMessage="0" showErrorMessage="1" error="Skor tidak boleh melebihi skor maksimum!" sqref="E272">
      <formula1>D272</formula1>
    </dataValidation>
    <dataValidation type="decimal" errorStyle="stop" operator="lessThanOrEqual" allowBlank="1" showDropDown="1" showInputMessage="0" showErrorMessage="1" error="Skor tidak boleh melebihi skor maksimum!" sqref="H272">
      <formula1>G272</formula1>
    </dataValidation>
    <dataValidation type="decimal" errorStyle="stop" operator="lessThanOrEqual" allowBlank="1" showDropDown="1" showInputMessage="0" showErrorMessage="1" error="Skor tidak boleh melebihi skor maksimum!" sqref="K272">
      <formula1>J272</formula1>
    </dataValidation>
    <dataValidation type="decimal" errorStyle="stop" operator="lessThanOrEqual" allowBlank="1" showDropDown="1" showInputMessage="0" showErrorMessage="1" error="Skor tidak boleh melebihi skor maksimum!" sqref="N272">
      <formula1>M272</formula1>
    </dataValidation>
    <dataValidation type="decimal" errorStyle="stop" operator="lessThanOrEqual" allowBlank="1" showDropDown="1" showInputMessage="0" showErrorMessage="1" error="Skor tidak boleh melebihi skor maksimum!" sqref="Q272">
      <formula1>P272</formula1>
    </dataValidation>
    <dataValidation type="decimal" errorStyle="stop" operator="lessThanOrEqual" allowBlank="1" showDropDown="1" showInputMessage="0" showErrorMessage="1" error="Skor tidak boleh melebihi skor maksimum!" sqref="E273">
      <formula1>D273</formula1>
    </dataValidation>
    <dataValidation type="decimal" errorStyle="stop" operator="lessThanOrEqual" allowBlank="1" showDropDown="1" showInputMessage="0" showErrorMessage="1" error="Skor tidak boleh melebihi skor maksimum!" sqref="H273">
      <formula1>G273</formula1>
    </dataValidation>
    <dataValidation type="decimal" errorStyle="stop" operator="lessThanOrEqual" allowBlank="1" showDropDown="1" showInputMessage="0" showErrorMessage="1" error="Skor tidak boleh melebihi skor maksimum!" sqref="K273">
      <formula1>J273</formula1>
    </dataValidation>
    <dataValidation type="decimal" errorStyle="stop" operator="lessThanOrEqual" allowBlank="1" showDropDown="1" showInputMessage="0" showErrorMessage="1" error="Skor tidak boleh melebihi skor maksimum!" sqref="N273">
      <formula1>M273</formula1>
    </dataValidation>
    <dataValidation type="decimal" errorStyle="stop" operator="lessThanOrEqual" allowBlank="1" showDropDown="1" showInputMessage="0" showErrorMessage="1" error="Skor tidak boleh melebihi skor maksimum!" sqref="Q273">
      <formula1>P273</formula1>
    </dataValidation>
    <dataValidation type="decimal" errorStyle="stop" operator="lessThanOrEqual" allowBlank="1" showDropDown="1" showInputMessage="0" showErrorMessage="1" error="Skor tidak boleh melebihi skor maksimum!" sqref="E274">
      <formula1>D274</formula1>
    </dataValidation>
    <dataValidation type="decimal" errorStyle="stop" operator="lessThanOrEqual" allowBlank="1" showDropDown="1" showInputMessage="0" showErrorMessage="1" error="Skor tidak boleh melebihi skor maksimum!" sqref="H274">
      <formula1>G274</formula1>
    </dataValidation>
    <dataValidation type="decimal" errorStyle="stop" operator="lessThanOrEqual" allowBlank="1" showDropDown="1" showInputMessage="0" showErrorMessage="1" error="Skor tidak boleh melebihi skor maksimum!" sqref="K274">
      <formula1>J274</formula1>
    </dataValidation>
    <dataValidation type="decimal" errorStyle="stop" operator="lessThanOrEqual" allowBlank="1" showDropDown="1" showInputMessage="0" showErrorMessage="1" error="Skor tidak boleh melebihi skor maksimum!" sqref="N274">
      <formula1>M274</formula1>
    </dataValidation>
    <dataValidation type="decimal" errorStyle="stop" operator="lessThanOrEqual" allowBlank="1" showDropDown="1" showInputMessage="0" showErrorMessage="1" error="Skor tidak boleh melebihi skor maksimum!" sqref="Q274">
      <formula1>P274</formula1>
    </dataValidation>
    <dataValidation type="decimal" errorStyle="stop" operator="lessThanOrEqual" allowBlank="1" showDropDown="1" showInputMessage="0" showErrorMessage="1" error="Skor tidak boleh melebihi skor maksimum!" sqref="E275">
      <formula1>D275</formula1>
    </dataValidation>
    <dataValidation type="decimal" errorStyle="stop" operator="lessThanOrEqual" allowBlank="1" showDropDown="1" showInputMessage="0" showErrorMessage="1" error="Skor tidak boleh melebihi skor maksimum!" sqref="H275">
      <formula1>G275</formula1>
    </dataValidation>
    <dataValidation type="decimal" errorStyle="stop" operator="lessThanOrEqual" allowBlank="1" showDropDown="1" showInputMessage="0" showErrorMessage="1" error="Skor tidak boleh melebihi skor maksimum!" sqref="K275">
      <formula1>J275</formula1>
    </dataValidation>
    <dataValidation type="decimal" errorStyle="stop" operator="lessThanOrEqual" allowBlank="1" showDropDown="1" showInputMessage="0" showErrorMessage="1" error="Skor tidak boleh melebihi skor maksimum!" sqref="N275">
      <formula1>M275</formula1>
    </dataValidation>
    <dataValidation type="decimal" errorStyle="stop" operator="lessThanOrEqual" allowBlank="1" showDropDown="1" showInputMessage="0" showErrorMessage="1" error="Skor tidak boleh melebihi skor maksimum!" sqref="Q275">
      <formula1>P275</formula1>
    </dataValidation>
    <dataValidation type="decimal" errorStyle="stop" operator="lessThanOrEqual" allowBlank="1" showDropDown="1" showInputMessage="0" showErrorMessage="1" error="Skor tidak boleh melebihi skor maksimum!" sqref="E276">
      <formula1>D276</formula1>
    </dataValidation>
    <dataValidation type="decimal" errorStyle="stop" operator="lessThanOrEqual" allowBlank="1" showDropDown="1" showInputMessage="0" showErrorMessage="1" error="Skor tidak boleh melebihi skor maksimum!" sqref="H276">
      <formula1>G276</formula1>
    </dataValidation>
    <dataValidation type="decimal" errorStyle="stop" operator="lessThanOrEqual" allowBlank="1" showDropDown="1" showInputMessage="0" showErrorMessage="1" error="Skor tidak boleh melebihi skor maksimum!" sqref="K276">
      <formula1>J276</formula1>
    </dataValidation>
    <dataValidation type="decimal" errorStyle="stop" operator="lessThanOrEqual" allowBlank="1" showDropDown="1" showInputMessage="0" showErrorMessage="1" error="Skor tidak boleh melebihi skor maksimum!" sqref="N276">
      <formula1>M276</formula1>
    </dataValidation>
    <dataValidation type="decimal" errorStyle="stop" operator="lessThanOrEqual" allowBlank="1" showDropDown="1" showInputMessage="0" showErrorMessage="1" error="Skor tidak boleh melebihi skor maksimum!" sqref="Q276">
      <formula1>P276</formula1>
    </dataValidation>
    <dataValidation type="decimal" errorStyle="stop" operator="lessThanOrEqual" allowBlank="1" showDropDown="1" showInputMessage="0" showErrorMessage="1" error="Skor tidak boleh melebihi skor maksimum!" sqref="E277">
      <formula1>D277</formula1>
    </dataValidation>
    <dataValidation type="decimal" errorStyle="stop" operator="lessThanOrEqual" allowBlank="1" showDropDown="1" showInputMessage="0" showErrorMessage="1" error="Skor tidak boleh melebihi skor maksimum!" sqref="H277">
      <formula1>G277</formula1>
    </dataValidation>
    <dataValidation type="decimal" errorStyle="stop" operator="lessThanOrEqual" allowBlank="1" showDropDown="1" showInputMessage="0" showErrorMessage="1" error="Skor tidak boleh melebihi skor maksimum!" sqref="K277">
      <formula1>J277</formula1>
    </dataValidation>
    <dataValidation type="decimal" errorStyle="stop" operator="lessThanOrEqual" allowBlank="1" showDropDown="1" showInputMessage="0" showErrorMessage="1" error="Skor tidak boleh melebihi skor maksimum!" sqref="N277">
      <formula1>M277</formula1>
    </dataValidation>
    <dataValidation type="decimal" errorStyle="stop" operator="lessThanOrEqual" allowBlank="1" showDropDown="1" showInputMessage="0" showErrorMessage="1" error="Skor tidak boleh melebihi skor maksimum!" sqref="Q277">
      <formula1>P277</formula1>
    </dataValidation>
    <dataValidation type="decimal" errorStyle="stop" operator="lessThanOrEqual" allowBlank="1" showDropDown="1" showInputMessage="0" showErrorMessage="1" error="Skor tidak boleh melebihi skor maksimum!" sqref="E278">
      <formula1>D278</formula1>
    </dataValidation>
    <dataValidation type="decimal" errorStyle="stop" operator="lessThanOrEqual" allowBlank="1" showDropDown="1" showInputMessage="0" showErrorMessage="1" error="Skor tidak boleh melebihi skor maksimum!" sqref="H278">
      <formula1>G278</formula1>
    </dataValidation>
    <dataValidation type="decimal" errorStyle="stop" operator="lessThanOrEqual" allowBlank="1" showDropDown="1" showInputMessage="0" showErrorMessage="1" error="Skor tidak boleh melebihi skor maksimum!" sqref="K278">
      <formula1>J278</formula1>
    </dataValidation>
    <dataValidation type="decimal" errorStyle="stop" operator="lessThanOrEqual" allowBlank="1" showDropDown="1" showInputMessage="0" showErrorMessage="1" error="Skor tidak boleh melebihi skor maksimum!" sqref="N278">
      <formula1>M278</formula1>
    </dataValidation>
    <dataValidation type="decimal" errorStyle="stop" operator="lessThanOrEqual" allowBlank="1" showDropDown="1" showInputMessage="0" showErrorMessage="1" error="Skor tidak boleh melebihi skor maksimum!" sqref="Q278">
      <formula1>P278</formula1>
    </dataValidation>
    <dataValidation type="decimal" errorStyle="stop" operator="lessThanOrEqual" allowBlank="1" showDropDown="1" showInputMessage="0" showErrorMessage="1" error="Skor tidak boleh melebihi skor maksimum!" sqref="E279">
      <formula1>D279</formula1>
    </dataValidation>
    <dataValidation type="decimal" errorStyle="stop" operator="lessThanOrEqual" allowBlank="1" showDropDown="1" showInputMessage="0" showErrorMessage="1" error="Skor tidak boleh melebihi skor maksimum!" sqref="H279">
      <formula1>G279</formula1>
    </dataValidation>
    <dataValidation type="decimal" errorStyle="stop" operator="lessThanOrEqual" allowBlank="1" showDropDown="1" showInputMessage="0" showErrorMessage="1" error="Skor tidak boleh melebihi skor maksimum!" sqref="K279">
      <formula1>J279</formula1>
    </dataValidation>
    <dataValidation type="decimal" errorStyle="stop" operator="lessThanOrEqual" allowBlank="1" showDropDown="1" showInputMessage="0" showErrorMessage="1" error="Skor tidak boleh melebihi skor maksimum!" sqref="N279">
      <formula1>M279</formula1>
    </dataValidation>
    <dataValidation type="decimal" errorStyle="stop" operator="lessThanOrEqual" allowBlank="1" showDropDown="1" showInputMessage="0" showErrorMessage="1" error="Skor tidak boleh melebihi skor maksimum!" sqref="Q279">
      <formula1>P279</formula1>
    </dataValidation>
    <dataValidation type="decimal" errorStyle="stop" operator="lessThanOrEqual" allowBlank="1" showDropDown="1" showInputMessage="0" showErrorMessage="1" error="Skor tidak boleh melebihi skor maksimum!" sqref="E280">
      <formula1>D280</formula1>
    </dataValidation>
    <dataValidation type="decimal" errorStyle="stop" operator="lessThanOrEqual" allowBlank="1" showDropDown="1" showInputMessage="0" showErrorMessage="1" error="Skor tidak boleh melebihi skor maksimum!" sqref="H280">
      <formula1>G280</formula1>
    </dataValidation>
    <dataValidation type="decimal" errorStyle="stop" operator="lessThanOrEqual" allowBlank="1" showDropDown="1" showInputMessage="0" showErrorMessage="1" error="Skor tidak boleh melebihi skor maksimum!" sqref="K280">
      <formula1>J280</formula1>
    </dataValidation>
    <dataValidation type="decimal" errorStyle="stop" operator="lessThanOrEqual" allowBlank="1" showDropDown="1" showInputMessage="0" showErrorMessage="1" error="Skor tidak boleh melebihi skor maksimum!" sqref="N280">
      <formula1>M280</formula1>
    </dataValidation>
    <dataValidation type="decimal" errorStyle="stop" operator="lessThanOrEqual" allowBlank="1" showDropDown="1" showInputMessage="0" showErrorMessage="1" error="Skor tidak boleh melebihi skor maksimum!" sqref="Q280">
      <formula1>P280</formula1>
    </dataValidation>
    <dataValidation type="decimal" errorStyle="stop" operator="lessThanOrEqual" allowBlank="1" showDropDown="1" showInputMessage="0" showErrorMessage="1" error="Skor tidak boleh melebihi skor maksimum!" sqref="E281">
      <formula1>D281</formula1>
    </dataValidation>
    <dataValidation type="decimal" errorStyle="stop" operator="lessThanOrEqual" allowBlank="1" showDropDown="1" showInputMessage="0" showErrorMessage="1" error="Skor tidak boleh melebihi skor maksimum!" sqref="H281">
      <formula1>G281</formula1>
    </dataValidation>
    <dataValidation type="decimal" errorStyle="stop" operator="lessThanOrEqual" allowBlank="1" showDropDown="1" showInputMessage="0" showErrorMessage="1" error="Skor tidak boleh melebihi skor maksimum!" sqref="K281">
      <formula1>J281</formula1>
    </dataValidation>
    <dataValidation type="decimal" errorStyle="stop" operator="lessThanOrEqual" allowBlank="1" showDropDown="1" showInputMessage="0" showErrorMessage="1" error="Skor tidak boleh melebihi skor maksimum!" sqref="N281">
      <formula1>M281</formula1>
    </dataValidation>
    <dataValidation type="decimal" errorStyle="stop" operator="lessThanOrEqual" allowBlank="1" showDropDown="1" showInputMessage="0" showErrorMessage="1" error="Skor tidak boleh melebihi skor maksimum!" sqref="Q281">
      <formula1>P281</formula1>
    </dataValidation>
    <dataValidation type="decimal" errorStyle="stop" operator="lessThanOrEqual" allowBlank="1" showDropDown="1" showInputMessage="0" showErrorMessage="1" error="Skor tidak boleh melebihi skor maksimum!" sqref="E282">
      <formula1>D282</formula1>
    </dataValidation>
    <dataValidation type="decimal" errorStyle="stop" operator="lessThanOrEqual" allowBlank="1" showDropDown="1" showInputMessage="0" showErrorMessage="1" error="Skor tidak boleh melebihi skor maksimum!" sqref="H282">
      <formula1>G282</formula1>
    </dataValidation>
    <dataValidation type="decimal" errorStyle="stop" operator="lessThanOrEqual" allowBlank="1" showDropDown="1" showInputMessage="0" showErrorMessage="1" error="Skor tidak boleh melebihi skor maksimum!" sqref="K282">
      <formula1>J282</formula1>
    </dataValidation>
    <dataValidation type="decimal" errorStyle="stop" operator="lessThanOrEqual" allowBlank="1" showDropDown="1" showInputMessage="0" showErrorMessage="1" error="Skor tidak boleh melebihi skor maksimum!" sqref="N282">
      <formula1>M282</formula1>
    </dataValidation>
    <dataValidation type="decimal" errorStyle="stop" operator="lessThanOrEqual" allowBlank="1" showDropDown="1" showInputMessage="0" showErrorMessage="1" error="Skor tidak boleh melebihi skor maksimum!" sqref="Q282">
      <formula1>P282</formula1>
    </dataValidation>
    <dataValidation type="decimal" errorStyle="stop" operator="lessThanOrEqual" allowBlank="1" showDropDown="1" showInputMessage="0" showErrorMessage="1" error="Skor tidak boleh melebihi skor maksimum!" sqref="E283">
      <formula1>D283</formula1>
    </dataValidation>
    <dataValidation type="decimal" errorStyle="stop" operator="lessThanOrEqual" allowBlank="1" showDropDown="1" showInputMessage="0" showErrorMessage="1" error="Skor tidak boleh melebihi skor maksimum!" sqref="H283">
      <formula1>G283</formula1>
    </dataValidation>
    <dataValidation type="decimal" errorStyle="stop" operator="lessThanOrEqual" allowBlank="1" showDropDown="1" showInputMessage="0" showErrorMessage="1" error="Skor tidak boleh melebihi skor maksimum!" sqref="K283">
      <formula1>J283</formula1>
    </dataValidation>
    <dataValidation type="decimal" errorStyle="stop" operator="lessThanOrEqual" allowBlank="1" showDropDown="1" showInputMessage="0" showErrorMessage="1" error="Skor tidak boleh melebihi skor maksimum!" sqref="N283">
      <formula1>M283</formula1>
    </dataValidation>
    <dataValidation type="decimal" errorStyle="stop" operator="lessThanOrEqual" allowBlank="1" showDropDown="1" showInputMessage="0" showErrorMessage="1" error="Skor tidak boleh melebihi skor maksimum!" sqref="Q283">
      <formula1>P283</formula1>
    </dataValidation>
    <dataValidation type="decimal" errorStyle="stop" operator="lessThanOrEqual" allowBlank="1" showDropDown="1" showInputMessage="0" showErrorMessage="1" error="Skor tidak boleh melebihi skor maksimum!" sqref="E284">
      <formula1>D284</formula1>
    </dataValidation>
    <dataValidation type="decimal" errorStyle="stop" operator="lessThanOrEqual" allowBlank="1" showDropDown="1" showInputMessage="0" showErrorMessage="1" error="Skor tidak boleh melebihi skor maksimum!" sqref="H284">
      <formula1>G284</formula1>
    </dataValidation>
    <dataValidation type="decimal" errorStyle="stop" operator="lessThanOrEqual" allowBlank="1" showDropDown="1" showInputMessage="0" showErrorMessage="1" error="Skor tidak boleh melebihi skor maksimum!" sqref="K284">
      <formula1>J284</formula1>
    </dataValidation>
    <dataValidation type="decimal" errorStyle="stop" operator="lessThanOrEqual" allowBlank="1" showDropDown="1" showInputMessage="0" showErrorMessage="1" error="Skor tidak boleh melebihi skor maksimum!" sqref="N284">
      <formula1>M284</formula1>
    </dataValidation>
    <dataValidation type="decimal" errorStyle="stop" operator="lessThanOrEqual" allowBlank="1" showDropDown="1" showInputMessage="0" showErrorMessage="1" error="Skor tidak boleh melebihi skor maksimum!" sqref="Q284">
      <formula1>P284</formula1>
    </dataValidation>
    <dataValidation type="decimal" errorStyle="stop" operator="lessThanOrEqual" allowBlank="1" showDropDown="1" showInputMessage="0" showErrorMessage="1" error="Skor tidak boleh melebihi skor maksimum!" sqref="E285">
      <formula1>D285</formula1>
    </dataValidation>
    <dataValidation type="decimal" errorStyle="stop" operator="lessThanOrEqual" allowBlank="1" showDropDown="1" showInputMessage="0" showErrorMessage="1" error="Skor tidak boleh melebihi skor maksimum!" sqref="H285">
      <formula1>G285</formula1>
    </dataValidation>
    <dataValidation type="decimal" errorStyle="stop" operator="lessThanOrEqual" allowBlank="1" showDropDown="1" showInputMessage="0" showErrorMessage="1" error="Skor tidak boleh melebihi skor maksimum!" sqref="K285">
      <formula1>J285</formula1>
    </dataValidation>
    <dataValidation type="decimal" errorStyle="stop" operator="lessThanOrEqual" allowBlank="1" showDropDown="1" showInputMessage="0" showErrorMessage="1" error="Skor tidak boleh melebihi skor maksimum!" sqref="N285">
      <formula1>M285</formula1>
    </dataValidation>
    <dataValidation type="decimal" errorStyle="stop" operator="lessThanOrEqual" allowBlank="1" showDropDown="1" showInputMessage="0" showErrorMessage="1" error="Skor tidak boleh melebihi skor maksimum!" sqref="Q285">
      <formula1>P285</formula1>
    </dataValidation>
    <dataValidation type="decimal" errorStyle="stop" operator="lessThanOrEqual" allowBlank="1" showDropDown="1" showInputMessage="0" showErrorMessage="1" error="Skor tidak boleh melebihi skor maksimum!" sqref="E286">
      <formula1>D286</formula1>
    </dataValidation>
    <dataValidation type="decimal" errorStyle="stop" operator="lessThanOrEqual" allowBlank="1" showDropDown="1" showInputMessage="0" showErrorMessage="1" error="Skor tidak boleh melebihi skor maksimum!" sqref="H286">
      <formula1>G286</formula1>
    </dataValidation>
    <dataValidation type="decimal" errorStyle="stop" operator="lessThanOrEqual" allowBlank="1" showDropDown="1" showInputMessage="0" showErrorMessage="1" error="Skor tidak boleh melebihi skor maksimum!" sqref="K286">
      <formula1>J286</formula1>
    </dataValidation>
    <dataValidation type="decimal" errorStyle="stop" operator="lessThanOrEqual" allowBlank="1" showDropDown="1" showInputMessage="0" showErrorMessage="1" error="Skor tidak boleh melebihi skor maksimum!" sqref="N286">
      <formula1>M286</formula1>
    </dataValidation>
    <dataValidation type="decimal" errorStyle="stop" operator="lessThanOrEqual" allowBlank="1" showDropDown="1" showInputMessage="0" showErrorMessage="1" error="Skor tidak boleh melebihi skor maksimum!" sqref="Q286">
      <formula1>P286</formula1>
    </dataValidation>
    <dataValidation type="decimal" errorStyle="stop" operator="lessThanOrEqual" allowBlank="1" showDropDown="1" showInputMessage="0" showErrorMessage="1" error="Skor tidak boleh melebihi skor maksimum!" sqref="E287">
      <formula1>D287</formula1>
    </dataValidation>
    <dataValidation type="decimal" errorStyle="stop" operator="lessThanOrEqual" allowBlank="1" showDropDown="1" showInputMessage="0" showErrorMessage="1" error="Skor tidak boleh melebihi skor maksimum!" sqref="H287">
      <formula1>G287</formula1>
    </dataValidation>
    <dataValidation type="decimal" errorStyle="stop" operator="lessThanOrEqual" allowBlank="1" showDropDown="1" showInputMessage="0" showErrorMessage="1" error="Skor tidak boleh melebihi skor maksimum!" sqref="K287">
      <formula1>J287</formula1>
    </dataValidation>
    <dataValidation type="decimal" errorStyle="stop" operator="lessThanOrEqual" allowBlank="1" showDropDown="1" showInputMessage="0" showErrorMessage="1" error="Skor tidak boleh melebihi skor maksimum!" sqref="N287">
      <formula1>M287</formula1>
    </dataValidation>
    <dataValidation type="decimal" errorStyle="stop" operator="lessThanOrEqual" allowBlank="1" showDropDown="1" showInputMessage="0" showErrorMessage="1" error="Skor tidak boleh melebihi skor maksimum!" sqref="Q287">
      <formula1>P287</formula1>
    </dataValidation>
    <dataValidation type="decimal" errorStyle="stop" operator="lessThanOrEqual" allowBlank="1" showDropDown="1" showInputMessage="0" showErrorMessage="1" error="Skor tidak boleh melebihi skor maksimum!" sqref="E288">
      <formula1>D288</formula1>
    </dataValidation>
    <dataValidation type="decimal" errorStyle="stop" operator="lessThanOrEqual" allowBlank="1" showDropDown="1" showInputMessage="0" showErrorMessage="1" error="Skor tidak boleh melebihi skor maksimum!" sqref="H288">
      <formula1>G288</formula1>
    </dataValidation>
    <dataValidation type="decimal" errorStyle="stop" operator="lessThanOrEqual" allowBlank="1" showDropDown="1" showInputMessage="0" showErrorMessage="1" error="Skor tidak boleh melebihi skor maksimum!" sqref="K288">
      <formula1>J288</formula1>
    </dataValidation>
    <dataValidation type="decimal" errorStyle="stop" operator="lessThanOrEqual" allowBlank="1" showDropDown="1" showInputMessage="0" showErrorMessage="1" error="Skor tidak boleh melebihi skor maksimum!" sqref="N288">
      <formula1>M288</formula1>
    </dataValidation>
    <dataValidation type="decimal" errorStyle="stop" operator="lessThanOrEqual" allowBlank="1" showDropDown="1" showInputMessage="0" showErrorMessage="1" error="Skor tidak boleh melebihi skor maksimum!" sqref="Q288">
      <formula1>P288</formula1>
    </dataValidation>
    <dataValidation type="decimal" errorStyle="stop" operator="lessThanOrEqual" allowBlank="1" showDropDown="1" showInputMessage="0" showErrorMessage="1" error="Skor tidak boleh melebihi skor maksimum!" sqref="E289">
      <formula1>D289</formula1>
    </dataValidation>
    <dataValidation type="decimal" errorStyle="stop" operator="lessThanOrEqual" allowBlank="1" showDropDown="1" showInputMessage="0" showErrorMessage="1" error="Skor tidak boleh melebihi skor maksimum!" sqref="H289">
      <formula1>G289</formula1>
    </dataValidation>
    <dataValidation type="decimal" errorStyle="stop" operator="lessThanOrEqual" allowBlank="1" showDropDown="1" showInputMessage="0" showErrorMessage="1" error="Skor tidak boleh melebihi skor maksimum!" sqref="K289">
      <formula1>J289</formula1>
    </dataValidation>
    <dataValidation type="decimal" errorStyle="stop" operator="lessThanOrEqual" allowBlank="1" showDropDown="1" showInputMessage="0" showErrorMessage="1" error="Skor tidak boleh melebihi skor maksimum!" sqref="N289">
      <formula1>M289</formula1>
    </dataValidation>
    <dataValidation type="decimal" errorStyle="stop" operator="lessThanOrEqual" allowBlank="1" showDropDown="1" showInputMessage="0" showErrorMessage="1" error="Skor tidak boleh melebihi skor maksimum!" sqref="Q289">
      <formula1>P289</formula1>
    </dataValidation>
    <dataValidation type="decimal" errorStyle="stop" operator="lessThanOrEqual" allowBlank="1" showDropDown="1" showInputMessage="0" showErrorMessage="1" error="Skor tidak boleh melebihi skor maksimum!" sqref="E290">
      <formula1>D290</formula1>
    </dataValidation>
    <dataValidation type="decimal" errorStyle="stop" operator="lessThanOrEqual" allowBlank="1" showDropDown="1" showInputMessage="0" showErrorMessage="1" error="Skor tidak boleh melebihi skor maksimum!" sqref="H290">
      <formula1>G290</formula1>
    </dataValidation>
    <dataValidation type="decimal" errorStyle="stop" operator="lessThanOrEqual" allowBlank="1" showDropDown="1" showInputMessage="0" showErrorMessage="1" error="Skor tidak boleh melebihi skor maksimum!" sqref="K290">
      <formula1>J290</formula1>
    </dataValidation>
    <dataValidation type="decimal" errorStyle="stop" operator="lessThanOrEqual" allowBlank="1" showDropDown="1" showInputMessage="0" showErrorMessage="1" error="Skor tidak boleh melebihi skor maksimum!" sqref="N290">
      <formula1>M290</formula1>
    </dataValidation>
    <dataValidation type="decimal" errorStyle="stop" operator="lessThanOrEqual" allowBlank="1" showDropDown="1" showInputMessage="0" showErrorMessage="1" error="Skor tidak boleh melebihi skor maksimum!" sqref="Q290">
      <formula1>P290</formula1>
    </dataValidation>
    <dataValidation type="decimal" errorStyle="stop" operator="lessThanOrEqual" allowBlank="1" showDropDown="1" showInputMessage="0" showErrorMessage="1" error="Skor tidak boleh melebihi skor maksimum!" sqref="E291">
      <formula1>D291</formula1>
    </dataValidation>
    <dataValidation type="decimal" errorStyle="stop" operator="lessThanOrEqual" allowBlank="1" showDropDown="1" showInputMessage="0" showErrorMessage="1" error="Skor tidak boleh melebihi skor maksimum!" sqref="H291">
      <formula1>G291</formula1>
    </dataValidation>
    <dataValidation type="decimal" errorStyle="stop" operator="lessThanOrEqual" allowBlank="1" showDropDown="1" showInputMessage="0" showErrorMessage="1" error="Skor tidak boleh melebihi skor maksimum!" sqref="K291">
      <formula1>J291</formula1>
    </dataValidation>
    <dataValidation type="decimal" errorStyle="stop" operator="lessThanOrEqual" allowBlank="1" showDropDown="1" showInputMessage="0" showErrorMessage="1" error="Skor tidak boleh melebihi skor maksimum!" sqref="N291">
      <formula1>M291</formula1>
    </dataValidation>
    <dataValidation type="decimal" errorStyle="stop" operator="lessThanOrEqual" allowBlank="1" showDropDown="1" showInputMessage="0" showErrorMessage="1" error="Skor tidak boleh melebihi skor maksimum!" sqref="Q291">
      <formula1>P291</formula1>
    </dataValidation>
    <dataValidation type="decimal" errorStyle="stop" operator="lessThanOrEqual" allowBlank="1" showDropDown="1" showInputMessage="0" showErrorMessage="1" error="Skor tidak boleh melebihi skor maksimum!" sqref="E292">
      <formula1>D292</formula1>
    </dataValidation>
    <dataValidation type="decimal" errorStyle="stop" operator="lessThanOrEqual" allowBlank="1" showDropDown="1" showInputMessage="0" showErrorMessage="1" error="Skor tidak boleh melebihi skor maksimum!" sqref="H292">
      <formula1>G292</formula1>
    </dataValidation>
    <dataValidation type="decimal" errorStyle="stop" operator="lessThanOrEqual" allowBlank="1" showDropDown="1" showInputMessage="0" showErrorMessage="1" error="Skor tidak boleh melebihi skor maksimum!" sqref="K292">
      <formula1>J292</formula1>
    </dataValidation>
    <dataValidation type="decimal" errorStyle="stop" operator="lessThanOrEqual" allowBlank="1" showDropDown="1" showInputMessage="0" showErrorMessage="1" error="Skor tidak boleh melebihi skor maksimum!" sqref="N292">
      <formula1>M292</formula1>
    </dataValidation>
    <dataValidation type="decimal" errorStyle="stop" operator="lessThanOrEqual" allowBlank="1" showDropDown="1" showInputMessage="0" showErrorMessage="1" error="Skor tidak boleh melebihi skor maksimum!" sqref="Q292">
      <formula1>P292</formula1>
    </dataValidation>
    <dataValidation type="decimal" errorStyle="stop" operator="lessThanOrEqual" allowBlank="1" showDropDown="1" showInputMessage="0" showErrorMessage="1" error="Skor tidak boleh melebihi skor maksimum!" sqref="E293">
      <formula1>D293</formula1>
    </dataValidation>
    <dataValidation type="decimal" errorStyle="stop" operator="lessThanOrEqual" allowBlank="1" showDropDown="1" showInputMessage="0" showErrorMessage="1" error="Skor tidak boleh melebihi skor maksimum!" sqref="H293">
      <formula1>G293</formula1>
    </dataValidation>
    <dataValidation type="decimal" errorStyle="stop" operator="lessThanOrEqual" allowBlank="1" showDropDown="1" showInputMessage="0" showErrorMessage="1" error="Skor tidak boleh melebihi skor maksimum!" sqref="K293">
      <formula1>J293</formula1>
    </dataValidation>
    <dataValidation type="decimal" errorStyle="stop" operator="lessThanOrEqual" allowBlank="1" showDropDown="1" showInputMessage="0" showErrorMessage="1" error="Skor tidak boleh melebihi skor maksimum!" sqref="N293">
      <formula1>M293</formula1>
    </dataValidation>
    <dataValidation type="decimal" errorStyle="stop" operator="lessThanOrEqual" allowBlank="1" showDropDown="1" showInputMessage="0" showErrorMessage="1" error="Skor tidak boleh melebihi skor maksimum!" sqref="Q293">
      <formula1>P293</formula1>
    </dataValidation>
    <dataValidation type="decimal" errorStyle="stop" operator="lessThanOrEqual" allowBlank="1" showDropDown="1" showInputMessage="0" showErrorMessage="1" error="Skor tidak boleh melebihi skor maksimum!" sqref="E294">
      <formula1>D294</formula1>
    </dataValidation>
    <dataValidation type="decimal" errorStyle="stop" operator="lessThanOrEqual" allowBlank="1" showDropDown="1" showInputMessage="0" showErrorMessage="1" error="Skor tidak boleh melebihi skor maksimum!" sqref="H294">
      <formula1>G294</formula1>
    </dataValidation>
    <dataValidation type="decimal" errorStyle="stop" operator="lessThanOrEqual" allowBlank="1" showDropDown="1" showInputMessage="0" showErrorMessage="1" error="Skor tidak boleh melebihi skor maksimum!" sqref="K294">
      <formula1>J294</formula1>
    </dataValidation>
    <dataValidation type="decimal" errorStyle="stop" operator="lessThanOrEqual" allowBlank="1" showDropDown="1" showInputMessage="0" showErrorMessage="1" error="Skor tidak boleh melebihi skor maksimum!" sqref="N294">
      <formula1>M294</formula1>
    </dataValidation>
    <dataValidation type="decimal" errorStyle="stop" operator="lessThanOrEqual" allowBlank="1" showDropDown="1" showInputMessage="0" showErrorMessage="1" error="Skor tidak boleh melebihi skor maksimum!" sqref="Q294">
      <formula1>P294</formula1>
    </dataValidation>
    <dataValidation type="decimal" errorStyle="stop" operator="lessThanOrEqual" allowBlank="1" showDropDown="1" showInputMessage="0" showErrorMessage="1" error="Skor tidak boleh melebihi skor maksimum!" sqref="E295">
      <formula1>D295</formula1>
    </dataValidation>
    <dataValidation type="decimal" errorStyle="stop" operator="lessThanOrEqual" allowBlank="1" showDropDown="1" showInputMessage="0" showErrorMessage="1" error="Skor tidak boleh melebihi skor maksimum!" sqref="H295">
      <formula1>G295</formula1>
    </dataValidation>
    <dataValidation type="decimal" errorStyle="stop" operator="lessThanOrEqual" allowBlank="1" showDropDown="1" showInputMessage="0" showErrorMessage="1" error="Skor tidak boleh melebihi skor maksimum!" sqref="K295">
      <formula1>J295</formula1>
    </dataValidation>
    <dataValidation type="decimal" errorStyle="stop" operator="lessThanOrEqual" allowBlank="1" showDropDown="1" showInputMessage="0" showErrorMessage="1" error="Skor tidak boleh melebihi skor maksimum!" sqref="N295">
      <formula1>M295</formula1>
    </dataValidation>
    <dataValidation type="decimal" errorStyle="stop" operator="lessThanOrEqual" allowBlank="1" showDropDown="1" showInputMessage="0" showErrorMessage="1" error="Skor tidak boleh melebihi skor maksimum!" sqref="Q295">
      <formula1>P295</formula1>
    </dataValidation>
    <dataValidation type="decimal" errorStyle="stop" operator="lessThanOrEqual" allowBlank="1" showDropDown="1" showInputMessage="0" showErrorMessage="1" error="Skor tidak boleh melebihi skor maksimum!" sqref="E296">
      <formula1>D296</formula1>
    </dataValidation>
    <dataValidation type="decimal" errorStyle="stop" operator="lessThanOrEqual" allowBlank="1" showDropDown="1" showInputMessage="0" showErrorMessage="1" error="Skor tidak boleh melebihi skor maksimum!" sqref="H296">
      <formula1>G296</formula1>
    </dataValidation>
    <dataValidation type="decimal" errorStyle="stop" operator="lessThanOrEqual" allowBlank="1" showDropDown="1" showInputMessage="0" showErrorMessage="1" error="Skor tidak boleh melebihi skor maksimum!" sqref="K296">
      <formula1>J296</formula1>
    </dataValidation>
    <dataValidation type="decimal" errorStyle="stop" operator="lessThanOrEqual" allowBlank="1" showDropDown="1" showInputMessage="0" showErrorMessage="1" error="Skor tidak boleh melebihi skor maksimum!" sqref="N296">
      <formula1>M296</formula1>
    </dataValidation>
    <dataValidation type="decimal" errorStyle="stop" operator="lessThanOrEqual" allowBlank="1" showDropDown="1" showInputMessage="0" showErrorMessage="1" error="Skor tidak boleh melebihi skor maksimum!" sqref="Q296">
      <formula1>P296</formula1>
    </dataValidation>
    <dataValidation type="decimal" errorStyle="stop" operator="lessThanOrEqual" allowBlank="1" showDropDown="1" showInputMessage="0" showErrorMessage="1" error="Skor tidak boleh melebihi skor maksimum!" sqref="E297">
      <formula1>D297</formula1>
    </dataValidation>
    <dataValidation type="decimal" errorStyle="stop" operator="lessThanOrEqual" allowBlank="1" showDropDown="1" showInputMessage="0" showErrorMessage="1" error="Skor tidak boleh melebihi skor maksimum!" sqref="H297">
      <formula1>G297</formula1>
    </dataValidation>
    <dataValidation type="decimal" errorStyle="stop" operator="lessThanOrEqual" allowBlank="1" showDropDown="1" showInputMessage="0" showErrorMessage="1" error="Skor tidak boleh melebihi skor maksimum!" sqref="K297">
      <formula1>J297</formula1>
    </dataValidation>
    <dataValidation type="decimal" errorStyle="stop" operator="lessThanOrEqual" allowBlank="1" showDropDown="1" showInputMessage="0" showErrorMessage="1" error="Skor tidak boleh melebihi skor maksimum!" sqref="N297">
      <formula1>M297</formula1>
    </dataValidation>
    <dataValidation type="decimal" errorStyle="stop" operator="lessThanOrEqual" allowBlank="1" showDropDown="1" showInputMessage="0" showErrorMessage="1" error="Skor tidak boleh melebihi skor maksimum!" sqref="Q297">
      <formula1>P297</formula1>
    </dataValidation>
    <dataValidation type="decimal" errorStyle="stop" operator="lessThanOrEqual" allowBlank="1" showDropDown="1" showInputMessage="0" showErrorMessage="1" error="Skor tidak boleh melebihi skor maksimum!" sqref="E298">
      <formula1>D298</formula1>
    </dataValidation>
    <dataValidation type="decimal" errorStyle="stop" operator="lessThanOrEqual" allowBlank="1" showDropDown="1" showInputMessage="0" showErrorMessage="1" error="Skor tidak boleh melebihi skor maksimum!" sqref="H298">
      <formula1>G298</formula1>
    </dataValidation>
    <dataValidation type="decimal" errorStyle="stop" operator="lessThanOrEqual" allowBlank="1" showDropDown="1" showInputMessage="0" showErrorMessage="1" error="Skor tidak boleh melebihi skor maksimum!" sqref="K298">
      <formula1>J298</formula1>
    </dataValidation>
    <dataValidation type="decimal" errorStyle="stop" operator="lessThanOrEqual" allowBlank="1" showDropDown="1" showInputMessage="0" showErrorMessage="1" error="Skor tidak boleh melebihi skor maksimum!" sqref="N298">
      <formula1>M298</formula1>
    </dataValidation>
    <dataValidation type="decimal" errorStyle="stop" operator="lessThanOrEqual" allowBlank="1" showDropDown="1" showInputMessage="0" showErrorMessage="1" error="Skor tidak boleh melebihi skor maksimum!" sqref="Q298">
      <formula1>P298</formula1>
    </dataValidation>
    <dataValidation type="decimal" errorStyle="stop" operator="lessThanOrEqual" allowBlank="1" showDropDown="1" showInputMessage="0" showErrorMessage="1" error="Skor tidak boleh melebihi skor maksimum!" sqref="E299">
      <formula1>D299</formula1>
    </dataValidation>
    <dataValidation type="decimal" errorStyle="stop" operator="lessThanOrEqual" allowBlank="1" showDropDown="1" showInputMessage="0" showErrorMessage="1" error="Skor tidak boleh melebihi skor maksimum!" sqref="H299">
      <formula1>G299</formula1>
    </dataValidation>
    <dataValidation type="decimal" errorStyle="stop" operator="lessThanOrEqual" allowBlank="1" showDropDown="1" showInputMessage="0" showErrorMessage="1" error="Skor tidak boleh melebihi skor maksimum!" sqref="K299">
      <formula1>J299</formula1>
    </dataValidation>
    <dataValidation type="decimal" errorStyle="stop" operator="lessThanOrEqual" allowBlank="1" showDropDown="1" showInputMessage="0" showErrorMessage="1" error="Skor tidak boleh melebihi skor maksimum!" sqref="N299">
      <formula1>M299</formula1>
    </dataValidation>
    <dataValidation type="decimal" errorStyle="stop" operator="lessThanOrEqual" allowBlank="1" showDropDown="1" showInputMessage="0" showErrorMessage="1" error="Skor tidak boleh melebihi skor maksimum!" sqref="Q299">
      <formula1>P299</formula1>
    </dataValidation>
    <dataValidation type="decimal" errorStyle="stop" operator="lessThanOrEqual" allowBlank="1" showDropDown="1" showInputMessage="0" showErrorMessage="1" error="Skor tidak boleh melebihi skor maksimum!" sqref="E300">
      <formula1>D300</formula1>
    </dataValidation>
    <dataValidation type="decimal" errorStyle="stop" operator="lessThanOrEqual" allowBlank="1" showDropDown="1" showInputMessage="0" showErrorMessage="1" error="Skor tidak boleh melebihi skor maksimum!" sqref="H300">
      <formula1>G300</formula1>
    </dataValidation>
    <dataValidation type="decimal" errorStyle="stop" operator="lessThanOrEqual" allowBlank="1" showDropDown="1" showInputMessage="0" showErrorMessage="1" error="Skor tidak boleh melebihi skor maksimum!" sqref="K300">
      <formula1>J300</formula1>
    </dataValidation>
    <dataValidation type="decimal" errorStyle="stop" operator="lessThanOrEqual" allowBlank="1" showDropDown="1" showInputMessage="0" showErrorMessage="1" error="Skor tidak boleh melebihi skor maksimum!" sqref="N300">
      <formula1>M300</formula1>
    </dataValidation>
    <dataValidation type="decimal" errorStyle="stop" operator="lessThanOrEqual" allowBlank="1" showDropDown="1" showInputMessage="0" showErrorMessage="1" error="Skor tidak boleh melebihi skor maksimum!" sqref="Q300">
      <formula1>P300</formula1>
    </dataValidation>
    <dataValidation type="decimal" errorStyle="stop" operator="lessThanOrEqual" allowBlank="1" showDropDown="1" showInputMessage="0" showErrorMessage="1" error="Skor tidak boleh melebihi skor maksimum!" sqref="E301">
      <formula1>D301</formula1>
    </dataValidation>
    <dataValidation type="decimal" errorStyle="stop" operator="lessThanOrEqual" allowBlank="1" showDropDown="1" showInputMessage="0" showErrorMessage="1" error="Skor tidak boleh melebihi skor maksimum!" sqref="H301">
      <formula1>G301</formula1>
    </dataValidation>
    <dataValidation type="decimal" errorStyle="stop" operator="lessThanOrEqual" allowBlank="1" showDropDown="1" showInputMessage="0" showErrorMessage="1" error="Skor tidak boleh melebihi skor maksimum!" sqref="K301">
      <formula1>J301</formula1>
    </dataValidation>
    <dataValidation type="decimal" errorStyle="stop" operator="lessThanOrEqual" allowBlank="1" showDropDown="1" showInputMessage="0" showErrorMessage="1" error="Skor tidak boleh melebihi skor maksimum!" sqref="N301">
      <formula1>M301</formula1>
    </dataValidation>
    <dataValidation type="decimal" errorStyle="stop" operator="lessThanOrEqual" allowBlank="1" showDropDown="1" showInputMessage="0" showErrorMessage="1" error="Skor tidak boleh melebihi skor maksimum!" sqref="Q301">
      <formula1>P301</formula1>
    </dataValidation>
    <dataValidation type="decimal" errorStyle="stop" operator="lessThanOrEqual" allowBlank="1" showDropDown="1" showInputMessage="0" showErrorMessage="1" error="Skor tidak boleh melebihi skor maksimum!" sqref="E302">
      <formula1>D302</formula1>
    </dataValidation>
    <dataValidation type="decimal" errorStyle="stop" operator="lessThanOrEqual" allowBlank="1" showDropDown="1" showInputMessage="0" showErrorMessage="1" error="Skor tidak boleh melebihi skor maksimum!" sqref="H302">
      <formula1>G302</formula1>
    </dataValidation>
    <dataValidation type="decimal" errorStyle="stop" operator="lessThanOrEqual" allowBlank="1" showDropDown="1" showInputMessage="0" showErrorMessage="1" error="Skor tidak boleh melebihi skor maksimum!" sqref="K302">
      <formula1>J302</formula1>
    </dataValidation>
    <dataValidation type="decimal" errorStyle="stop" operator="lessThanOrEqual" allowBlank="1" showDropDown="1" showInputMessage="0" showErrorMessage="1" error="Skor tidak boleh melebihi skor maksimum!" sqref="N302">
      <formula1>M302</formula1>
    </dataValidation>
    <dataValidation type="decimal" errorStyle="stop" operator="lessThanOrEqual" allowBlank="1" showDropDown="1" showInputMessage="0" showErrorMessage="1" error="Skor tidak boleh melebihi skor maksimum!" sqref="Q302">
      <formula1>P302</formula1>
    </dataValidation>
    <dataValidation type="decimal" errorStyle="stop" operator="lessThanOrEqual" allowBlank="1" showDropDown="1" showInputMessage="0" showErrorMessage="1" error="Skor tidak boleh melebihi skor maksimum!" sqref="E303">
      <formula1>D303</formula1>
    </dataValidation>
    <dataValidation type="decimal" errorStyle="stop" operator="lessThanOrEqual" allowBlank="1" showDropDown="1" showInputMessage="0" showErrorMessage="1" error="Skor tidak boleh melebihi skor maksimum!" sqref="H303">
      <formula1>G303</formula1>
    </dataValidation>
    <dataValidation type="decimal" errorStyle="stop" operator="lessThanOrEqual" allowBlank="1" showDropDown="1" showInputMessage="0" showErrorMessage="1" error="Skor tidak boleh melebihi skor maksimum!" sqref="K303">
      <formula1>J303</formula1>
    </dataValidation>
    <dataValidation type="decimal" errorStyle="stop" operator="lessThanOrEqual" allowBlank="1" showDropDown="1" showInputMessage="0" showErrorMessage="1" error="Skor tidak boleh melebihi skor maksimum!" sqref="N303">
      <formula1>M303</formula1>
    </dataValidation>
    <dataValidation type="decimal" errorStyle="stop" operator="lessThanOrEqual" allowBlank="1" showDropDown="1" showInputMessage="0" showErrorMessage="1" error="Skor tidak boleh melebihi skor maksimum!" sqref="Q303">
      <formula1>P303</formula1>
    </dataValidation>
    <dataValidation type="decimal" errorStyle="stop" operator="lessThanOrEqual" allowBlank="1" showDropDown="1" showInputMessage="0" showErrorMessage="1" error="Skor tidak boleh melebihi skor maksimum!" sqref="E304">
      <formula1>D304</formula1>
    </dataValidation>
    <dataValidation type="decimal" errorStyle="stop" operator="lessThanOrEqual" allowBlank="1" showDropDown="1" showInputMessage="0" showErrorMessage="1" error="Skor tidak boleh melebihi skor maksimum!" sqref="H304">
      <formula1>G304</formula1>
    </dataValidation>
    <dataValidation type="decimal" errorStyle="stop" operator="lessThanOrEqual" allowBlank="1" showDropDown="1" showInputMessage="0" showErrorMessage="1" error="Skor tidak boleh melebihi skor maksimum!" sqref="K304">
      <formula1>J304</formula1>
    </dataValidation>
    <dataValidation type="decimal" errorStyle="stop" operator="lessThanOrEqual" allowBlank="1" showDropDown="1" showInputMessage="0" showErrorMessage="1" error="Skor tidak boleh melebihi skor maksimum!" sqref="N304">
      <formula1>M304</formula1>
    </dataValidation>
    <dataValidation type="decimal" errorStyle="stop" operator="lessThanOrEqual" allowBlank="1" showDropDown="1" showInputMessage="0" showErrorMessage="1" error="Skor tidak boleh melebihi skor maksimum!" sqref="Q304">
      <formula1>P304</formula1>
    </dataValidation>
    <dataValidation type="decimal" errorStyle="stop" operator="lessThanOrEqual" allowBlank="1" showDropDown="1" showInputMessage="0" showErrorMessage="1" error="Skor tidak boleh melebihi skor maksimum!" sqref="E305">
      <formula1>D305</formula1>
    </dataValidation>
    <dataValidation type="decimal" errorStyle="stop" operator="lessThanOrEqual" allowBlank="1" showDropDown="1" showInputMessage="0" showErrorMessage="1" error="Skor tidak boleh melebihi skor maksimum!" sqref="H305">
      <formula1>G305</formula1>
    </dataValidation>
    <dataValidation type="decimal" errorStyle="stop" operator="lessThanOrEqual" allowBlank="1" showDropDown="1" showInputMessage="0" showErrorMessage="1" error="Skor tidak boleh melebihi skor maksimum!" sqref="K305">
      <formula1>J305</formula1>
    </dataValidation>
    <dataValidation type="decimal" errorStyle="stop" operator="lessThanOrEqual" allowBlank="1" showDropDown="1" showInputMessage="0" showErrorMessage="1" error="Skor tidak boleh melebihi skor maksimum!" sqref="N305">
      <formula1>M305</formula1>
    </dataValidation>
    <dataValidation type="decimal" errorStyle="stop" operator="lessThanOrEqual" allowBlank="1" showDropDown="1" showInputMessage="0" showErrorMessage="1" error="Skor tidak boleh melebihi skor maksimum!" sqref="Q305">
      <formula1>P305</formula1>
    </dataValidation>
    <dataValidation type="decimal" errorStyle="stop" operator="lessThanOrEqual" allowBlank="1" showDropDown="1" showInputMessage="0" showErrorMessage="1" error="Skor tidak boleh melebihi skor maksimum!" sqref="E306">
      <formula1>D306</formula1>
    </dataValidation>
    <dataValidation type="decimal" errorStyle="stop" operator="lessThanOrEqual" allowBlank="1" showDropDown="1" showInputMessage="0" showErrorMessage="1" error="Skor tidak boleh melebihi skor maksimum!" sqref="H306">
      <formula1>G306</formula1>
    </dataValidation>
    <dataValidation type="decimal" errorStyle="stop" operator="lessThanOrEqual" allowBlank="1" showDropDown="1" showInputMessage="0" showErrorMessage="1" error="Skor tidak boleh melebihi skor maksimum!" sqref="K306">
      <formula1>J306</formula1>
    </dataValidation>
    <dataValidation type="decimal" errorStyle="stop" operator="lessThanOrEqual" allowBlank="1" showDropDown="1" showInputMessage="0" showErrorMessage="1" error="Skor tidak boleh melebihi skor maksimum!" sqref="N306">
      <formula1>M306</formula1>
    </dataValidation>
    <dataValidation type="decimal" errorStyle="stop" operator="lessThanOrEqual" allowBlank="1" showDropDown="1" showInputMessage="0" showErrorMessage="1" error="Skor tidak boleh melebihi skor maksimum!" sqref="Q306">
      <formula1>P306</formula1>
    </dataValidation>
    <dataValidation type="decimal" errorStyle="stop" operator="lessThanOrEqual" allowBlank="1" showDropDown="1" showInputMessage="0" showErrorMessage="1" error="Skor tidak boleh melebihi skor maksimum!" sqref="E307">
      <formula1>D307</formula1>
    </dataValidation>
    <dataValidation type="decimal" errorStyle="stop" operator="lessThanOrEqual" allowBlank="1" showDropDown="1" showInputMessage="0" showErrorMessage="1" error="Skor tidak boleh melebihi skor maksimum!" sqref="H307">
      <formula1>G307</formula1>
    </dataValidation>
    <dataValidation type="decimal" errorStyle="stop" operator="lessThanOrEqual" allowBlank="1" showDropDown="1" showInputMessage="0" showErrorMessage="1" error="Skor tidak boleh melebihi skor maksimum!" sqref="K307">
      <formula1>J307</formula1>
    </dataValidation>
    <dataValidation type="decimal" errorStyle="stop" operator="lessThanOrEqual" allowBlank="1" showDropDown="1" showInputMessage="0" showErrorMessage="1" error="Skor tidak boleh melebihi skor maksimum!" sqref="N307">
      <formula1>M307</formula1>
    </dataValidation>
    <dataValidation type="decimal" errorStyle="stop" operator="lessThanOrEqual" allowBlank="1" showDropDown="1" showInputMessage="0" showErrorMessage="1" error="Skor tidak boleh melebihi skor maksimum!" sqref="Q307">
      <formula1>P307</formula1>
    </dataValidation>
    <dataValidation type="decimal" errorStyle="stop" operator="lessThanOrEqual" allowBlank="1" showDropDown="1" showInputMessage="0" showErrorMessage="1" error="Skor tidak boleh melebihi skor maksimum!" sqref="E308">
      <formula1>D308</formula1>
    </dataValidation>
    <dataValidation type="decimal" errorStyle="stop" operator="lessThanOrEqual" allowBlank="1" showDropDown="1" showInputMessage="0" showErrorMessage="1" error="Skor tidak boleh melebihi skor maksimum!" sqref="H308">
      <formula1>G308</formula1>
    </dataValidation>
    <dataValidation type="decimal" errorStyle="stop" operator="lessThanOrEqual" allowBlank="1" showDropDown="1" showInputMessage="0" showErrorMessage="1" error="Skor tidak boleh melebihi skor maksimum!" sqref="K308">
      <formula1>J308</formula1>
    </dataValidation>
    <dataValidation type="decimal" errorStyle="stop" operator="lessThanOrEqual" allowBlank="1" showDropDown="1" showInputMessage="0" showErrorMessage="1" error="Skor tidak boleh melebihi skor maksimum!" sqref="N308">
      <formula1>M308</formula1>
    </dataValidation>
    <dataValidation type="decimal" errorStyle="stop" operator="lessThanOrEqual" allowBlank="1" showDropDown="1" showInputMessage="0" showErrorMessage="1" error="Skor tidak boleh melebihi skor maksimum!" sqref="Q308">
      <formula1>P308</formula1>
    </dataValidation>
    <dataValidation type="decimal" errorStyle="stop" operator="lessThanOrEqual" allowBlank="1" showDropDown="1" showInputMessage="0" showErrorMessage="1" error="Skor tidak boleh melebihi skor maksimum!" sqref="E309">
      <formula1>D309</formula1>
    </dataValidation>
    <dataValidation type="decimal" errorStyle="stop" operator="lessThanOrEqual" allowBlank="1" showDropDown="1" showInputMessage="0" showErrorMessage="1" error="Skor tidak boleh melebihi skor maksimum!" sqref="H309">
      <formula1>G309</formula1>
    </dataValidation>
    <dataValidation type="decimal" errorStyle="stop" operator="lessThanOrEqual" allowBlank="1" showDropDown="1" showInputMessage="0" showErrorMessage="1" error="Skor tidak boleh melebihi skor maksimum!" sqref="K309">
      <formula1>J309</formula1>
    </dataValidation>
    <dataValidation type="decimal" errorStyle="stop" operator="lessThanOrEqual" allowBlank="1" showDropDown="1" showInputMessage="0" showErrorMessage="1" error="Skor tidak boleh melebihi skor maksimum!" sqref="N309">
      <formula1>M309</formula1>
    </dataValidation>
    <dataValidation type="decimal" errorStyle="stop" operator="lessThanOrEqual" allowBlank="1" showDropDown="1" showInputMessage="0" showErrorMessage="1" error="Skor tidak boleh melebihi skor maksimum!" sqref="Q309">
      <formula1>P309</formula1>
    </dataValidation>
    <dataValidation type="decimal" errorStyle="stop" operator="lessThanOrEqual" allowBlank="1" showDropDown="1" showInputMessage="0" showErrorMessage="1" error="Skor tidak boleh melebihi skor maksimum!" sqref="E310">
      <formula1>D310</formula1>
    </dataValidation>
    <dataValidation type="decimal" errorStyle="stop" operator="lessThanOrEqual" allowBlank="1" showDropDown="1" showInputMessage="0" showErrorMessage="1" error="Skor tidak boleh melebihi skor maksimum!" sqref="H310">
      <formula1>G310</formula1>
    </dataValidation>
    <dataValidation type="decimal" errorStyle="stop" operator="lessThanOrEqual" allowBlank="1" showDropDown="1" showInputMessage="0" showErrorMessage="1" error="Skor tidak boleh melebihi skor maksimum!" sqref="K310">
      <formula1>J310</formula1>
    </dataValidation>
    <dataValidation type="decimal" errorStyle="stop" operator="lessThanOrEqual" allowBlank="1" showDropDown="1" showInputMessage="0" showErrorMessage="1" error="Skor tidak boleh melebihi skor maksimum!" sqref="N310">
      <formula1>M310</formula1>
    </dataValidation>
    <dataValidation type="decimal" errorStyle="stop" operator="lessThanOrEqual" allowBlank="1" showDropDown="1" showInputMessage="0" showErrorMessage="1" error="Skor tidak boleh melebihi skor maksimum!" sqref="Q310">
      <formula1>P310</formula1>
    </dataValidation>
    <dataValidation type="decimal" errorStyle="stop" operator="lessThanOrEqual" allowBlank="1" showDropDown="1" showInputMessage="0" showErrorMessage="1" error="Skor tidak boleh melebihi skor maksimum!" sqref="E311">
      <formula1>D311</formula1>
    </dataValidation>
    <dataValidation type="decimal" errorStyle="stop" operator="lessThanOrEqual" allowBlank="1" showDropDown="1" showInputMessage="0" showErrorMessage="1" error="Skor tidak boleh melebihi skor maksimum!" sqref="H311">
      <formula1>G311</formula1>
    </dataValidation>
    <dataValidation type="decimal" errorStyle="stop" operator="lessThanOrEqual" allowBlank="1" showDropDown="1" showInputMessage="0" showErrorMessage="1" error="Skor tidak boleh melebihi skor maksimum!" sqref="K311">
      <formula1>J311</formula1>
    </dataValidation>
    <dataValidation type="decimal" errorStyle="stop" operator="lessThanOrEqual" allowBlank="1" showDropDown="1" showInputMessage="0" showErrorMessage="1" error="Skor tidak boleh melebihi skor maksimum!" sqref="N311">
      <formula1>M311</formula1>
    </dataValidation>
    <dataValidation type="decimal" errorStyle="stop" operator="lessThanOrEqual" allowBlank="1" showDropDown="1" showInputMessage="0" showErrorMessage="1" error="Skor tidak boleh melebihi skor maksimum!" sqref="Q311">
      <formula1>P311</formula1>
    </dataValidation>
    <dataValidation type="decimal" errorStyle="stop" operator="lessThanOrEqual" allowBlank="1" showDropDown="1" showInputMessage="0" showErrorMessage="1" error="Skor tidak boleh melebihi skor maksimum!" sqref="E312">
      <formula1>D312</formula1>
    </dataValidation>
    <dataValidation type="decimal" errorStyle="stop" operator="lessThanOrEqual" allowBlank="1" showDropDown="1" showInputMessage="0" showErrorMessage="1" error="Skor tidak boleh melebihi skor maksimum!" sqref="H312">
      <formula1>G312</formula1>
    </dataValidation>
    <dataValidation type="decimal" errorStyle="stop" operator="lessThanOrEqual" allowBlank="1" showDropDown="1" showInputMessage="0" showErrorMessage="1" error="Skor tidak boleh melebihi skor maksimum!" sqref="K312">
      <formula1>J312</formula1>
    </dataValidation>
    <dataValidation type="decimal" errorStyle="stop" operator="lessThanOrEqual" allowBlank="1" showDropDown="1" showInputMessage="0" showErrorMessage="1" error="Skor tidak boleh melebihi skor maksimum!" sqref="N312">
      <formula1>M312</formula1>
    </dataValidation>
    <dataValidation type="decimal" errorStyle="stop" operator="lessThanOrEqual" allowBlank="1" showDropDown="1" showInputMessage="0" showErrorMessage="1" error="Skor tidak boleh melebihi skor maksimum!" sqref="Q312">
      <formula1>P312</formula1>
    </dataValidation>
    <dataValidation type="decimal" errorStyle="stop" operator="lessThanOrEqual" allowBlank="1" showDropDown="1" showInputMessage="0" showErrorMessage="1" error="Skor tidak boleh melebihi skor maksimum!" sqref="E313">
      <formula1>D313</formula1>
    </dataValidation>
    <dataValidation type="decimal" errorStyle="stop" operator="lessThanOrEqual" allowBlank="1" showDropDown="1" showInputMessage="0" showErrorMessage="1" error="Skor tidak boleh melebihi skor maksimum!" sqref="H313">
      <formula1>G313</formula1>
    </dataValidation>
    <dataValidation type="decimal" errorStyle="stop" operator="lessThanOrEqual" allowBlank="1" showDropDown="1" showInputMessage="0" showErrorMessage="1" error="Skor tidak boleh melebihi skor maksimum!" sqref="K313">
      <formula1>J313</formula1>
    </dataValidation>
    <dataValidation type="decimal" errorStyle="stop" operator="lessThanOrEqual" allowBlank="1" showDropDown="1" showInputMessage="0" showErrorMessage="1" error="Skor tidak boleh melebihi skor maksimum!" sqref="N313">
      <formula1>M313</formula1>
    </dataValidation>
    <dataValidation type="decimal" errorStyle="stop" operator="lessThanOrEqual" allowBlank="1" showDropDown="1" showInputMessage="0" showErrorMessage="1" error="Skor tidak boleh melebihi skor maksimum!" sqref="Q313">
      <formula1>P313</formula1>
    </dataValidation>
    <dataValidation type="decimal" errorStyle="stop" operator="lessThanOrEqual" allowBlank="1" showDropDown="1" showInputMessage="0" showErrorMessage="1" error="Skor tidak boleh melebihi skor maksimum!" sqref="E314">
      <formula1>D314</formula1>
    </dataValidation>
    <dataValidation type="decimal" errorStyle="stop" operator="lessThanOrEqual" allowBlank="1" showDropDown="1" showInputMessage="0" showErrorMessage="1" error="Skor tidak boleh melebihi skor maksimum!" sqref="H314">
      <formula1>G314</formula1>
    </dataValidation>
    <dataValidation type="decimal" errorStyle="stop" operator="lessThanOrEqual" allowBlank="1" showDropDown="1" showInputMessage="0" showErrorMessage="1" error="Skor tidak boleh melebihi skor maksimum!" sqref="K314">
      <formula1>J314</formula1>
    </dataValidation>
    <dataValidation type="decimal" errorStyle="stop" operator="lessThanOrEqual" allowBlank="1" showDropDown="1" showInputMessage="0" showErrorMessage="1" error="Skor tidak boleh melebihi skor maksimum!" sqref="N314">
      <formula1>M314</formula1>
    </dataValidation>
    <dataValidation type="decimal" errorStyle="stop" operator="lessThanOrEqual" allowBlank="1" showDropDown="1" showInputMessage="0" showErrorMessage="1" error="Skor tidak boleh melebihi skor maksimum!" sqref="Q314">
      <formula1>P314</formula1>
    </dataValidation>
    <dataValidation type="decimal" errorStyle="stop" operator="lessThanOrEqual" allowBlank="1" showDropDown="1" showInputMessage="0" showErrorMessage="1" error="Skor tidak boleh melebihi skor maksimum!" sqref="E315">
      <formula1>D315</formula1>
    </dataValidation>
    <dataValidation type="decimal" errorStyle="stop" operator="lessThanOrEqual" allowBlank="1" showDropDown="1" showInputMessage="0" showErrorMessage="1" error="Skor tidak boleh melebihi skor maksimum!" sqref="H315">
      <formula1>G315</formula1>
    </dataValidation>
    <dataValidation type="decimal" errorStyle="stop" operator="lessThanOrEqual" allowBlank="1" showDropDown="1" showInputMessage="0" showErrorMessage="1" error="Skor tidak boleh melebihi skor maksimum!" sqref="K315">
      <formula1>J315</formula1>
    </dataValidation>
    <dataValidation type="decimal" errorStyle="stop" operator="lessThanOrEqual" allowBlank="1" showDropDown="1" showInputMessage="0" showErrorMessage="1" error="Skor tidak boleh melebihi skor maksimum!" sqref="N315">
      <formula1>M315</formula1>
    </dataValidation>
    <dataValidation type="decimal" errorStyle="stop" operator="lessThanOrEqual" allowBlank="1" showDropDown="1" showInputMessage="0" showErrorMessage="1" error="Skor tidak boleh melebihi skor maksimum!" sqref="Q315">
      <formula1>P315</formula1>
    </dataValidation>
    <dataValidation type="decimal" errorStyle="stop" operator="lessThanOrEqual" allowBlank="1" showDropDown="1" showInputMessage="0" showErrorMessage="1" error="Skor tidak boleh melebihi skor maksimum!" sqref="E316">
      <formula1>D316</formula1>
    </dataValidation>
    <dataValidation type="decimal" errorStyle="stop" operator="lessThanOrEqual" allowBlank="1" showDropDown="1" showInputMessage="0" showErrorMessage="1" error="Skor tidak boleh melebihi skor maksimum!" sqref="H316">
      <formula1>G316</formula1>
    </dataValidation>
    <dataValidation type="decimal" errorStyle="stop" operator="lessThanOrEqual" allowBlank="1" showDropDown="1" showInputMessage="0" showErrorMessage="1" error="Skor tidak boleh melebihi skor maksimum!" sqref="K316">
      <formula1>J316</formula1>
    </dataValidation>
    <dataValidation type="decimal" errorStyle="stop" operator="lessThanOrEqual" allowBlank="1" showDropDown="1" showInputMessage="0" showErrorMessage="1" error="Skor tidak boleh melebihi skor maksimum!" sqref="N316">
      <formula1>M316</formula1>
    </dataValidation>
    <dataValidation type="decimal" errorStyle="stop" operator="lessThanOrEqual" allowBlank="1" showDropDown="1" showInputMessage="0" showErrorMessage="1" error="Skor tidak boleh melebihi skor maksimum!" sqref="Q316">
      <formula1>P316</formula1>
    </dataValidation>
    <dataValidation type="decimal" errorStyle="stop" operator="lessThanOrEqual" allowBlank="1" showDropDown="1" showInputMessage="0" showErrorMessage="1" error="Skor tidak boleh melebihi skor maksimum!" sqref="E317">
      <formula1>D317</formula1>
    </dataValidation>
    <dataValidation type="decimal" errorStyle="stop" operator="lessThanOrEqual" allowBlank="1" showDropDown="1" showInputMessage="0" showErrorMessage="1" error="Skor tidak boleh melebihi skor maksimum!" sqref="H317">
      <formula1>G317</formula1>
    </dataValidation>
    <dataValidation type="decimal" errorStyle="stop" operator="lessThanOrEqual" allowBlank="1" showDropDown="1" showInputMessage="0" showErrorMessage="1" error="Skor tidak boleh melebihi skor maksimum!" sqref="K317">
      <formula1>J317</formula1>
    </dataValidation>
    <dataValidation type="decimal" errorStyle="stop" operator="lessThanOrEqual" allowBlank="1" showDropDown="1" showInputMessage="0" showErrorMessage="1" error="Skor tidak boleh melebihi skor maksimum!" sqref="N317">
      <formula1>M317</formula1>
    </dataValidation>
    <dataValidation type="decimal" errorStyle="stop" operator="lessThanOrEqual" allowBlank="1" showDropDown="1" showInputMessage="0" showErrorMessage="1" error="Skor tidak boleh melebihi skor maksimum!" sqref="Q317">
      <formula1>P317</formula1>
    </dataValidation>
    <dataValidation type="decimal" errorStyle="stop" operator="lessThanOrEqual" allowBlank="1" showDropDown="1" showInputMessage="0" showErrorMessage="1" error="Skor tidak boleh melebihi skor maksimum!" sqref="E318">
      <formula1>D318</formula1>
    </dataValidation>
    <dataValidation type="decimal" errorStyle="stop" operator="lessThanOrEqual" allowBlank="1" showDropDown="1" showInputMessage="0" showErrorMessage="1" error="Skor tidak boleh melebihi skor maksimum!" sqref="H318">
      <formula1>G318</formula1>
    </dataValidation>
    <dataValidation type="decimal" errorStyle="stop" operator="lessThanOrEqual" allowBlank="1" showDropDown="1" showInputMessage="0" showErrorMessage="1" error="Skor tidak boleh melebihi skor maksimum!" sqref="K318">
      <formula1>J318</formula1>
    </dataValidation>
    <dataValidation type="decimal" errorStyle="stop" operator="lessThanOrEqual" allowBlank="1" showDropDown="1" showInputMessage="0" showErrorMessage="1" error="Skor tidak boleh melebihi skor maksimum!" sqref="N318">
      <formula1>M318</formula1>
    </dataValidation>
    <dataValidation type="decimal" errorStyle="stop" operator="lessThanOrEqual" allowBlank="1" showDropDown="1" showInputMessage="0" showErrorMessage="1" error="Skor tidak boleh melebihi skor maksimum!" sqref="Q318">
      <formula1>P318</formula1>
    </dataValidation>
    <dataValidation type="decimal" errorStyle="stop" operator="lessThanOrEqual" allowBlank="1" showDropDown="1" showInputMessage="0" showErrorMessage="1" error="Skor tidak boleh melebihi skor maksimum!" sqref="E319">
      <formula1>D319</formula1>
    </dataValidation>
    <dataValidation type="decimal" errorStyle="stop" operator="lessThanOrEqual" allowBlank="1" showDropDown="1" showInputMessage="0" showErrorMessage="1" error="Skor tidak boleh melebihi skor maksimum!" sqref="H319">
      <formula1>G319</formula1>
    </dataValidation>
    <dataValidation type="decimal" errorStyle="stop" operator="lessThanOrEqual" allowBlank="1" showDropDown="1" showInputMessage="0" showErrorMessage="1" error="Skor tidak boleh melebihi skor maksimum!" sqref="K319">
      <formula1>J319</formula1>
    </dataValidation>
    <dataValidation type="decimal" errorStyle="stop" operator="lessThanOrEqual" allowBlank="1" showDropDown="1" showInputMessage="0" showErrorMessage="1" error="Skor tidak boleh melebihi skor maksimum!" sqref="N319">
      <formula1>M319</formula1>
    </dataValidation>
    <dataValidation type="decimal" errorStyle="stop" operator="lessThanOrEqual" allowBlank="1" showDropDown="1" showInputMessage="0" showErrorMessage="1" error="Skor tidak boleh melebihi skor maksimum!" sqref="Q319">
      <formula1>P319</formula1>
    </dataValidation>
    <dataValidation type="decimal" errorStyle="stop" operator="lessThanOrEqual" allowBlank="1" showDropDown="1" showInputMessage="0" showErrorMessage="1" error="Skor tidak boleh melebihi skor maksimum!" sqref="E320">
      <formula1>D320</formula1>
    </dataValidation>
    <dataValidation type="decimal" errorStyle="stop" operator="lessThanOrEqual" allowBlank="1" showDropDown="1" showInputMessage="0" showErrorMessage="1" error="Skor tidak boleh melebihi skor maksimum!" sqref="H320">
      <formula1>G320</formula1>
    </dataValidation>
    <dataValidation type="decimal" errorStyle="stop" operator="lessThanOrEqual" allowBlank="1" showDropDown="1" showInputMessage="0" showErrorMessage="1" error="Skor tidak boleh melebihi skor maksimum!" sqref="K320">
      <formula1>J320</formula1>
    </dataValidation>
    <dataValidation type="decimal" errorStyle="stop" operator="lessThanOrEqual" allowBlank="1" showDropDown="1" showInputMessage="0" showErrorMessage="1" error="Skor tidak boleh melebihi skor maksimum!" sqref="N320">
      <formula1>M320</formula1>
    </dataValidation>
    <dataValidation type="decimal" errorStyle="stop" operator="lessThanOrEqual" allowBlank="1" showDropDown="1" showInputMessage="0" showErrorMessage="1" error="Skor tidak boleh melebihi skor maksimum!" sqref="Q320">
      <formula1>P320</formula1>
    </dataValidation>
    <dataValidation type="decimal" errorStyle="stop" operator="lessThanOrEqual" allowBlank="1" showDropDown="1" showInputMessage="0" showErrorMessage="1" error="Skor tidak boleh melebihi skor maksimum!" sqref="E321">
      <formula1>D321</formula1>
    </dataValidation>
    <dataValidation type="decimal" errorStyle="stop" operator="lessThanOrEqual" allowBlank="1" showDropDown="1" showInputMessage="0" showErrorMessage="1" error="Skor tidak boleh melebihi skor maksimum!" sqref="H321">
      <formula1>G321</formula1>
    </dataValidation>
    <dataValidation type="decimal" errorStyle="stop" operator="lessThanOrEqual" allowBlank="1" showDropDown="1" showInputMessage="0" showErrorMessage="1" error="Skor tidak boleh melebihi skor maksimum!" sqref="K321">
      <formula1>J321</formula1>
    </dataValidation>
    <dataValidation type="decimal" errorStyle="stop" operator="lessThanOrEqual" allowBlank="1" showDropDown="1" showInputMessage="0" showErrorMessage="1" error="Skor tidak boleh melebihi skor maksimum!" sqref="N321">
      <formula1>M321</formula1>
    </dataValidation>
    <dataValidation type="decimal" errorStyle="stop" operator="lessThanOrEqual" allowBlank="1" showDropDown="1" showInputMessage="0" showErrorMessage="1" error="Skor tidak boleh melebihi skor maksimum!" sqref="Q321">
      <formula1>P321</formula1>
    </dataValidation>
    <dataValidation type="decimal" errorStyle="stop" operator="lessThanOrEqual" allowBlank="1" showDropDown="1" showInputMessage="0" showErrorMessage="1" error="Skor tidak boleh melebihi skor maksimum!" sqref="E322">
      <formula1>D322</formula1>
    </dataValidation>
    <dataValidation type="decimal" errorStyle="stop" operator="lessThanOrEqual" allowBlank="1" showDropDown="1" showInputMessage="0" showErrorMessage="1" error="Skor tidak boleh melebihi skor maksimum!" sqref="H322">
      <formula1>G322</formula1>
    </dataValidation>
    <dataValidation type="decimal" errorStyle="stop" operator="lessThanOrEqual" allowBlank="1" showDropDown="1" showInputMessage="0" showErrorMessage="1" error="Skor tidak boleh melebihi skor maksimum!" sqref="K322">
      <formula1>J322</formula1>
    </dataValidation>
    <dataValidation type="decimal" errorStyle="stop" operator="lessThanOrEqual" allowBlank="1" showDropDown="1" showInputMessage="0" showErrorMessage="1" error="Skor tidak boleh melebihi skor maksimum!" sqref="N322">
      <formula1>M322</formula1>
    </dataValidation>
    <dataValidation type="decimal" errorStyle="stop" operator="lessThanOrEqual" allowBlank="1" showDropDown="1" showInputMessage="0" showErrorMessage="1" error="Skor tidak boleh melebihi skor maksimum!" sqref="Q322">
      <formula1>P322</formula1>
    </dataValidation>
    <dataValidation type="decimal" errorStyle="stop" operator="lessThanOrEqual" allowBlank="1" showDropDown="1" showInputMessage="0" showErrorMessage="1" error="Skor tidak boleh melebihi skor maksimum!" sqref="E323">
      <formula1>D323</formula1>
    </dataValidation>
    <dataValidation type="decimal" errorStyle="stop" operator="lessThanOrEqual" allowBlank="1" showDropDown="1" showInputMessage="0" showErrorMessage="1" error="Skor tidak boleh melebihi skor maksimum!" sqref="H323">
      <formula1>G323</formula1>
    </dataValidation>
    <dataValidation type="decimal" errorStyle="stop" operator="lessThanOrEqual" allowBlank="1" showDropDown="1" showInputMessage="0" showErrorMessage="1" error="Skor tidak boleh melebihi skor maksimum!" sqref="K323">
      <formula1>J323</formula1>
    </dataValidation>
    <dataValidation type="decimal" errorStyle="stop" operator="lessThanOrEqual" allowBlank="1" showDropDown="1" showInputMessage="0" showErrorMessage="1" error="Skor tidak boleh melebihi skor maksimum!" sqref="N323">
      <formula1>M323</formula1>
    </dataValidation>
    <dataValidation type="decimal" errorStyle="stop" operator="lessThanOrEqual" allowBlank="1" showDropDown="1" showInputMessage="0" showErrorMessage="1" error="Skor tidak boleh melebihi skor maksimum!" sqref="Q323">
      <formula1>P323</formula1>
    </dataValidation>
    <dataValidation type="decimal" errorStyle="stop" operator="lessThanOrEqual" allowBlank="1" showDropDown="1" showInputMessage="0" showErrorMessage="1" error="Skor tidak boleh melebihi skor maksimum!" sqref="E324">
      <formula1>D324</formula1>
    </dataValidation>
    <dataValidation type="decimal" errorStyle="stop" operator="lessThanOrEqual" allowBlank="1" showDropDown="1" showInputMessage="0" showErrorMessage="1" error="Skor tidak boleh melebihi skor maksimum!" sqref="H324">
      <formula1>G324</formula1>
    </dataValidation>
    <dataValidation type="decimal" errorStyle="stop" operator="lessThanOrEqual" allowBlank="1" showDropDown="1" showInputMessage="0" showErrorMessage="1" error="Skor tidak boleh melebihi skor maksimum!" sqref="K324">
      <formula1>J324</formula1>
    </dataValidation>
    <dataValidation type="decimal" errorStyle="stop" operator="lessThanOrEqual" allowBlank="1" showDropDown="1" showInputMessage="0" showErrorMessage="1" error="Skor tidak boleh melebihi skor maksimum!" sqref="N324">
      <formula1>M324</formula1>
    </dataValidation>
    <dataValidation type="decimal" errorStyle="stop" operator="lessThanOrEqual" allowBlank="1" showDropDown="1" showInputMessage="0" showErrorMessage="1" error="Skor tidak boleh melebihi skor maksimum!" sqref="Q324">
      <formula1>P324</formula1>
    </dataValidation>
    <dataValidation type="decimal" errorStyle="stop" operator="lessThanOrEqual" allowBlank="1" showDropDown="1" showInputMessage="0" showErrorMessage="1" error="Skor tidak boleh melebihi skor maksimum!" sqref="E325">
      <formula1>D325</formula1>
    </dataValidation>
    <dataValidation type="decimal" errorStyle="stop" operator="lessThanOrEqual" allowBlank="1" showDropDown="1" showInputMessage="0" showErrorMessage="1" error="Skor tidak boleh melebihi skor maksimum!" sqref="H325">
      <formula1>G325</formula1>
    </dataValidation>
    <dataValidation type="decimal" errorStyle="stop" operator="lessThanOrEqual" allowBlank="1" showDropDown="1" showInputMessage="0" showErrorMessage="1" error="Skor tidak boleh melebihi skor maksimum!" sqref="K325">
      <formula1>J325</formula1>
    </dataValidation>
    <dataValidation type="decimal" errorStyle="stop" operator="lessThanOrEqual" allowBlank="1" showDropDown="1" showInputMessage="0" showErrorMessage="1" error="Skor tidak boleh melebihi skor maksimum!" sqref="N325">
      <formula1>M325</formula1>
    </dataValidation>
    <dataValidation type="decimal" errorStyle="stop" operator="lessThanOrEqual" allowBlank="1" showDropDown="1" showInputMessage="0" showErrorMessage="1" error="Skor tidak boleh melebihi skor maksimum!" sqref="Q325">
      <formula1>P325</formula1>
    </dataValidation>
    <dataValidation type="decimal" errorStyle="stop" operator="lessThanOrEqual" allowBlank="1" showDropDown="1" showInputMessage="0" showErrorMessage="1" error="Skor tidak boleh melebihi skor maksimum!" sqref="E326">
      <formula1>D326</formula1>
    </dataValidation>
    <dataValidation type="decimal" errorStyle="stop" operator="lessThanOrEqual" allowBlank="1" showDropDown="1" showInputMessage="0" showErrorMessage="1" error="Skor tidak boleh melebihi skor maksimum!" sqref="H326">
      <formula1>G326</formula1>
    </dataValidation>
    <dataValidation type="decimal" errorStyle="stop" operator="lessThanOrEqual" allowBlank="1" showDropDown="1" showInputMessage="0" showErrorMessage="1" error="Skor tidak boleh melebihi skor maksimum!" sqref="K326">
      <formula1>J326</formula1>
    </dataValidation>
    <dataValidation type="decimal" errorStyle="stop" operator="lessThanOrEqual" allowBlank="1" showDropDown="1" showInputMessage="0" showErrorMessage="1" error="Skor tidak boleh melebihi skor maksimum!" sqref="N326">
      <formula1>M326</formula1>
    </dataValidation>
    <dataValidation type="decimal" errorStyle="stop" operator="lessThanOrEqual" allowBlank="1" showDropDown="1" showInputMessage="0" showErrorMessage="1" error="Skor tidak boleh melebihi skor maksimum!" sqref="Q326">
      <formula1>P326</formula1>
    </dataValidation>
    <dataValidation type="decimal" errorStyle="stop" operator="lessThanOrEqual" allowBlank="1" showDropDown="1" showInputMessage="0" showErrorMessage="1" error="Skor tidak boleh melebihi skor maksimum!" sqref="E327">
      <formula1>D327</formula1>
    </dataValidation>
    <dataValidation type="decimal" errorStyle="stop" operator="lessThanOrEqual" allowBlank="1" showDropDown="1" showInputMessage="0" showErrorMessage="1" error="Skor tidak boleh melebihi skor maksimum!" sqref="H327">
      <formula1>G327</formula1>
    </dataValidation>
    <dataValidation type="decimal" errorStyle="stop" operator="lessThanOrEqual" allowBlank="1" showDropDown="1" showInputMessage="0" showErrorMessage="1" error="Skor tidak boleh melebihi skor maksimum!" sqref="K327">
      <formula1>J327</formula1>
    </dataValidation>
    <dataValidation type="decimal" errorStyle="stop" operator="lessThanOrEqual" allowBlank="1" showDropDown="1" showInputMessage="0" showErrorMessage="1" error="Skor tidak boleh melebihi skor maksimum!" sqref="N327">
      <formula1>M327</formula1>
    </dataValidation>
    <dataValidation type="decimal" errorStyle="stop" operator="lessThanOrEqual" allowBlank="1" showDropDown="1" showInputMessage="0" showErrorMessage="1" error="Skor tidak boleh melebihi skor maksimum!" sqref="Q327">
      <formula1>P327</formula1>
    </dataValidation>
    <dataValidation type="decimal" errorStyle="stop" operator="lessThanOrEqual" allowBlank="1" showDropDown="1" showInputMessage="0" showErrorMessage="1" error="Skor tidak boleh melebihi skor maksimum!" sqref="E328">
      <formula1>D328</formula1>
    </dataValidation>
    <dataValidation type="decimal" errorStyle="stop" operator="lessThanOrEqual" allowBlank="1" showDropDown="1" showInputMessage="0" showErrorMessage="1" error="Skor tidak boleh melebihi skor maksimum!" sqref="H328">
      <formula1>G328</formula1>
    </dataValidation>
    <dataValidation type="decimal" errorStyle="stop" operator="lessThanOrEqual" allowBlank="1" showDropDown="1" showInputMessage="0" showErrorMessage="1" error="Skor tidak boleh melebihi skor maksimum!" sqref="K328">
      <formula1>J328</formula1>
    </dataValidation>
    <dataValidation type="decimal" errorStyle="stop" operator="lessThanOrEqual" allowBlank="1" showDropDown="1" showInputMessage="0" showErrorMessage="1" error="Skor tidak boleh melebihi skor maksimum!" sqref="N328">
      <formula1>M328</formula1>
    </dataValidation>
    <dataValidation type="decimal" errorStyle="stop" operator="lessThanOrEqual" allowBlank="1" showDropDown="1" showInputMessage="0" showErrorMessage="1" error="Skor tidak boleh melebihi skor maksimum!" sqref="Q328">
      <formula1>P328</formula1>
    </dataValidation>
    <dataValidation type="decimal" errorStyle="stop" operator="lessThanOrEqual" allowBlank="1" showDropDown="1" showInputMessage="0" showErrorMessage="1" error="Skor tidak boleh melebihi skor maksimum!" sqref="E329">
      <formula1>D329</formula1>
    </dataValidation>
    <dataValidation type="decimal" errorStyle="stop" operator="lessThanOrEqual" allowBlank="1" showDropDown="1" showInputMessage="0" showErrorMessage="1" error="Skor tidak boleh melebihi skor maksimum!" sqref="H329">
      <formula1>G329</formula1>
    </dataValidation>
    <dataValidation type="decimal" errorStyle="stop" operator="lessThanOrEqual" allowBlank="1" showDropDown="1" showInputMessage="0" showErrorMessage="1" error="Skor tidak boleh melebihi skor maksimum!" sqref="K329">
      <formula1>J329</formula1>
    </dataValidation>
    <dataValidation type="decimal" errorStyle="stop" operator="lessThanOrEqual" allowBlank="1" showDropDown="1" showInputMessage="0" showErrorMessage="1" error="Skor tidak boleh melebihi skor maksimum!" sqref="N329">
      <formula1>M329</formula1>
    </dataValidation>
    <dataValidation type="decimal" errorStyle="stop" operator="lessThanOrEqual" allowBlank="1" showDropDown="1" showInputMessage="0" showErrorMessage="1" error="Skor tidak boleh melebihi skor maksimum!" sqref="Q329">
      <formula1>P329</formula1>
    </dataValidation>
    <dataValidation type="decimal" errorStyle="stop" operator="lessThanOrEqual" allowBlank="1" showDropDown="1" showInputMessage="0" showErrorMessage="1" error="Skor tidak boleh melebihi skor maksimum!" sqref="E330">
      <formula1>D330</formula1>
    </dataValidation>
    <dataValidation type="decimal" errorStyle="stop" operator="lessThanOrEqual" allowBlank="1" showDropDown="1" showInputMessage="0" showErrorMessage="1" error="Skor tidak boleh melebihi skor maksimum!" sqref="H330">
      <formula1>G330</formula1>
    </dataValidation>
    <dataValidation type="decimal" errorStyle="stop" operator="lessThanOrEqual" allowBlank="1" showDropDown="1" showInputMessage="0" showErrorMessage="1" error="Skor tidak boleh melebihi skor maksimum!" sqref="K330">
      <formula1>J330</formula1>
    </dataValidation>
    <dataValidation type="decimal" errorStyle="stop" operator="lessThanOrEqual" allowBlank="1" showDropDown="1" showInputMessage="0" showErrorMessage="1" error="Skor tidak boleh melebihi skor maksimum!" sqref="N330">
      <formula1>M330</formula1>
    </dataValidation>
    <dataValidation type="decimal" errorStyle="stop" operator="lessThanOrEqual" allowBlank="1" showDropDown="1" showInputMessage="0" showErrorMessage="1" error="Skor tidak boleh melebihi skor maksimum!" sqref="Q330">
      <formula1>P330</formula1>
    </dataValidation>
    <dataValidation type="decimal" errorStyle="stop" operator="lessThanOrEqual" allowBlank="1" showDropDown="1" showInputMessage="0" showErrorMessage="1" error="Skor tidak boleh melebihi skor maksimum!" sqref="E331">
      <formula1>D331</formula1>
    </dataValidation>
    <dataValidation type="decimal" errorStyle="stop" operator="lessThanOrEqual" allowBlank="1" showDropDown="1" showInputMessage="0" showErrorMessage="1" error="Skor tidak boleh melebihi skor maksimum!" sqref="H331">
      <formula1>G331</formula1>
    </dataValidation>
    <dataValidation type="decimal" errorStyle="stop" operator="lessThanOrEqual" allowBlank="1" showDropDown="1" showInputMessage="0" showErrorMessage="1" error="Skor tidak boleh melebihi skor maksimum!" sqref="K331">
      <formula1>J331</formula1>
    </dataValidation>
    <dataValidation type="decimal" errorStyle="stop" operator="lessThanOrEqual" allowBlank="1" showDropDown="1" showInputMessage="0" showErrorMessage="1" error="Skor tidak boleh melebihi skor maksimum!" sqref="N331">
      <formula1>M331</formula1>
    </dataValidation>
    <dataValidation type="decimal" errorStyle="stop" operator="lessThanOrEqual" allowBlank="1" showDropDown="1" showInputMessage="0" showErrorMessage="1" error="Skor tidak boleh melebihi skor maksimum!" sqref="Q331">
      <formula1>P331</formula1>
    </dataValidation>
    <dataValidation type="decimal" errorStyle="stop" operator="lessThanOrEqual" allowBlank="1" showDropDown="1" showInputMessage="0" showErrorMessage="1" error="Skor tidak boleh melebihi skor maksimum!" sqref="E332">
      <formula1>D332</formula1>
    </dataValidation>
    <dataValidation type="decimal" errorStyle="stop" operator="lessThanOrEqual" allowBlank="1" showDropDown="1" showInputMessage="0" showErrorMessage="1" error="Skor tidak boleh melebihi skor maksimum!" sqref="H332">
      <formula1>G332</formula1>
    </dataValidation>
    <dataValidation type="decimal" errorStyle="stop" operator="lessThanOrEqual" allowBlank="1" showDropDown="1" showInputMessage="0" showErrorMessage="1" error="Skor tidak boleh melebihi skor maksimum!" sqref="K332">
      <formula1>J332</formula1>
    </dataValidation>
    <dataValidation type="decimal" errorStyle="stop" operator="lessThanOrEqual" allowBlank="1" showDropDown="1" showInputMessage="0" showErrorMessage="1" error="Skor tidak boleh melebihi skor maksimum!" sqref="N332">
      <formula1>M332</formula1>
    </dataValidation>
    <dataValidation type="decimal" errorStyle="stop" operator="lessThanOrEqual" allowBlank="1" showDropDown="1" showInputMessage="0" showErrorMessage="1" error="Skor tidak boleh melebihi skor maksimum!" sqref="Q332">
      <formula1>P332</formula1>
    </dataValidation>
    <dataValidation type="decimal" errorStyle="stop" operator="lessThanOrEqual" allowBlank="1" showDropDown="1" showInputMessage="0" showErrorMessage="1" error="Skor tidak boleh melebihi skor maksimum!" sqref="E333">
      <formula1>D333</formula1>
    </dataValidation>
    <dataValidation type="decimal" errorStyle="stop" operator="lessThanOrEqual" allowBlank="1" showDropDown="1" showInputMessage="0" showErrorMessage="1" error="Skor tidak boleh melebihi skor maksimum!" sqref="H333">
      <formula1>G333</formula1>
    </dataValidation>
    <dataValidation type="decimal" errorStyle="stop" operator="lessThanOrEqual" allowBlank="1" showDropDown="1" showInputMessage="0" showErrorMessage="1" error="Skor tidak boleh melebihi skor maksimum!" sqref="K333">
      <formula1>J333</formula1>
    </dataValidation>
    <dataValidation type="decimal" errorStyle="stop" operator="lessThanOrEqual" allowBlank="1" showDropDown="1" showInputMessage="0" showErrorMessage="1" error="Skor tidak boleh melebihi skor maksimum!" sqref="N333">
      <formula1>M333</formula1>
    </dataValidation>
    <dataValidation type="decimal" errorStyle="stop" operator="lessThanOrEqual" allowBlank="1" showDropDown="1" showInputMessage="0" showErrorMessage="1" error="Skor tidak boleh melebihi skor maksimum!" sqref="Q333">
      <formula1>P333</formula1>
    </dataValidation>
    <dataValidation type="decimal" errorStyle="stop" operator="lessThanOrEqual" allowBlank="1" showDropDown="1" showInputMessage="0" showErrorMessage="1" error="Skor tidak boleh melebihi skor maksimum!" sqref="E334">
      <formula1>D334</formula1>
    </dataValidation>
    <dataValidation type="decimal" errorStyle="stop" operator="lessThanOrEqual" allowBlank="1" showDropDown="1" showInputMessage="0" showErrorMessage="1" error="Skor tidak boleh melebihi skor maksimum!" sqref="H334">
      <formula1>G334</formula1>
    </dataValidation>
    <dataValidation type="decimal" errorStyle="stop" operator="lessThanOrEqual" allowBlank="1" showDropDown="1" showInputMessage="0" showErrorMessage="1" error="Skor tidak boleh melebihi skor maksimum!" sqref="K334">
      <formula1>J334</formula1>
    </dataValidation>
    <dataValidation type="decimal" errorStyle="stop" operator="lessThanOrEqual" allowBlank="1" showDropDown="1" showInputMessage="0" showErrorMessage="1" error="Skor tidak boleh melebihi skor maksimum!" sqref="N334">
      <formula1>M334</formula1>
    </dataValidation>
    <dataValidation type="decimal" errorStyle="stop" operator="lessThanOrEqual" allowBlank="1" showDropDown="1" showInputMessage="0" showErrorMessage="1" error="Skor tidak boleh melebihi skor maksimum!" sqref="Q334">
      <formula1>P334</formula1>
    </dataValidation>
    <dataValidation type="decimal" errorStyle="stop" operator="lessThanOrEqual" allowBlank="1" showDropDown="1" showInputMessage="0" showErrorMessage="1" error="Skor tidak boleh melebihi skor maksimum!" sqref="E335">
      <formula1>D335</formula1>
    </dataValidation>
    <dataValidation type="decimal" errorStyle="stop" operator="lessThanOrEqual" allowBlank="1" showDropDown="1" showInputMessage="0" showErrorMessage="1" error="Skor tidak boleh melebihi skor maksimum!" sqref="H335">
      <formula1>G335</formula1>
    </dataValidation>
    <dataValidation type="decimal" errorStyle="stop" operator="lessThanOrEqual" allowBlank="1" showDropDown="1" showInputMessage="0" showErrorMessage="1" error="Skor tidak boleh melebihi skor maksimum!" sqref="K335">
      <formula1>J335</formula1>
    </dataValidation>
    <dataValidation type="decimal" errorStyle="stop" operator="lessThanOrEqual" allowBlank="1" showDropDown="1" showInputMessage="0" showErrorMessage="1" error="Skor tidak boleh melebihi skor maksimum!" sqref="N335">
      <formula1>M335</formula1>
    </dataValidation>
    <dataValidation type="decimal" errorStyle="stop" operator="lessThanOrEqual" allowBlank="1" showDropDown="1" showInputMessage="0" showErrorMessage="1" error="Skor tidak boleh melebihi skor maksimum!" sqref="Q335">
      <formula1>P335</formula1>
    </dataValidation>
    <dataValidation type="decimal" errorStyle="stop" operator="lessThanOrEqual" allowBlank="1" showDropDown="1" showInputMessage="0" showErrorMessage="1" error="Skor tidak boleh melebihi skor maksimum!" sqref="E336">
      <formula1>D336</formula1>
    </dataValidation>
    <dataValidation type="decimal" errorStyle="stop" operator="lessThanOrEqual" allowBlank="1" showDropDown="1" showInputMessage="0" showErrorMessage="1" error="Skor tidak boleh melebihi skor maksimum!" sqref="H336">
      <formula1>G336</formula1>
    </dataValidation>
    <dataValidation type="decimal" errorStyle="stop" operator="lessThanOrEqual" allowBlank="1" showDropDown="1" showInputMessage="0" showErrorMessage="1" error="Skor tidak boleh melebihi skor maksimum!" sqref="K336">
      <formula1>J336</formula1>
    </dataValidation>
    <dataValidation type="decimal" errorStyle="stop" operator="lessThanOrEqual" allowBlank="1" showDropDown="1" showInputMessage="0" showErrorMessage="1" error="Skor tidak boleh melebihi skor maksimum!" sqref="N336">
      <formula1>M336</formula1>
    </dataValidation>
    <dataValidation type="decimal" errorStyle="stop" operator="lessThanOrEqual" allowBlank="1" showDropDown="1" showInputMessage="0" showErrorMessage="1" error="Skor tidak boleh melebihi skor maksimum!" sqref="Q336">
      <formula1>P336</formula1>
    </dataValidation>
    <dataValidation type="decimal" errorStyle="stop" operator="lessThanOrEqual" allowBlank="1" showDropDown="1" showInputMessage="0" showErrorMessage="1" error="Skor tidak boleh melebihi skor maksimum!" sqref="E337">
      <formula1>D337</formula1>
    </dataValidation>
    <dataValidation type="decimal" errorStyle="stop" operator="lessThanOrEqual" allowBlank="1" showDropDown="1" showInputMessage="0" showErrorMessage="1" error="Skor tidak boleh melebihi skor maksimum!" sqref="H337">
      <formula1>G337</formula1>
    </dataValidation>
    <dataValidation type="decimal" errorStyle="stop" operator="lessThanOrEqual" allowBlank="1" showDropDown="1" showInputMessage="0" showErrorMessage="1" error="Skor tidak boleh melebihi skor maksimum!" sqref="K337">
      <formula1>J337</formula1>
    </dataValidation>
    <dataValidation type="decimal" errorStyle="stop" operator="lessThanOrEqual" allowBlank="1" showDropDown="1" showInputMessage="0" showErrorMessage="1" error="Skor tidak boleh melebihi skor maksimum!" sqref="N337">
      <formula1>M337</formula1>
    </dataValidation>
    <dataValidation type="decimal" errorStyle="stop" operator="lessThanOrEqual" allowBlank="1" showDropDown="1" showInputMessage="0" showErrorMessage="1" error="Skor tidak boleh melebihi skor maksimum!" sqref="Q337">
      <formula1>P337</formula1>
    </dataValidation>
    <dataValidation type="decimal" errorStyle="stop" operator="lessThanOrEqual" allowBlank="1" showDropDown="1" showInputMessage="0" showErrorMessage="1" error="Skor tidak boleh melebihi skor maksimum!" sqref="E338">
      <formula1>D338</formula1>
    </dataValidation>
    <dataValidation type="decimal" errorStyle="stop" operator="lessThanOrEqual" allowBlank="1" showDropDown="1" showInputMessage="0" showErrorMessage="1" error="Skor tidak boleh melebihi skor maksimum!" sqref="H338">
      <formula1>G338</formula1>
    </dataValidation>
    <dataValidation type="decimal" errorStyle="stop" operator="lessThanOrEqual" allowBlank="1" showDropDown="1" showInputMessage="0" showErrorMessage="1" error="Skor tidak boleh melebihi skor maksimum!" sqref="K338">
      <formula1>J338</formula1>
    </dataValidation>
    <dataValidation type="decimal" errorStyle="stop" operator="lessThanOrEqual" allowBlank="1" showDropDown="1" showInputMessage="0" showErrorMessage="1" error="Skor tidak boleh melebihi skor maksimum!" sqref="N338">
      <formula1>M338</formula1>
    </dataValidation>
    <dataValidation type="decimal" errorStyle="stop" operator="lessThanOrEqual" allowBlank="1" showDropDown="1" showInputMessage="0" showErrorMessage="1" error="Skor tidak boleh melebihi skor maksimum!" sqref="Q338">
      <formula1>P338</formula1>
    </dataValidation>
    <dataValidation type="decimal" errorStyle="stop" operator="lessThanOrEqual" allowBlank="1" showDropDown="1" showInputMessage="0" showErrorMessage="1" error="Skor tidak boleh melebihi skor maksimum!" sqref="E339">
      <formula1>D339</formula1>
    </dataValidation>
    <dataValidation type="decimal" errorStyle="stop" operator="lessThanOrEqual" allowBlank="1" showDropDown="1" showInputMessage="0" showErrorMessage="1" error="Skor tidak boleh melebihi skor maksimum!" sqref="H339">
      <formula1>G339</formula1>
    </dataValidation>
    <dataValidation type="decimal" errorStyle="stop" operator="lessThanOrEqual" allowBlank="1" showDropDown="1" showInputMessage="0" showErrorMessage="1" error="Skor tidak boleh melebihi skor maksimum!" sqref="K339">
      <formula1>J339</formula1>
    </dataValidation>
    <dataValidation type="decimal" errorStyle="stop" operator="lessThanOrEqual" allowBlank="1" showDropDown="1" showInputMessage="0" showErrorMessage="1" error="Skor tidak boleh melebihi skor maksimum!" sqref="N339">
      <formula1>M339</formula1>
    </dataValidation>
    <dataValidation type="decimal" errorStyle="stop" operator="lessThanOrEqual" allowBlank="1" showDropDown="1" showInputMessage="0" showErrorMessage="1" error="Skor tidak boleh melebihi skor maksimum!" sqref="Q339">
      <formula1>P339</formula1>
    </dataValidation>
    <dataValidation type="decimal" errorStyle="stop" operator="lessThanOrEqual" allowBlank="1" showDropDown="1" showInputMessage="0" showErrorMessage="1" error="Skor tidak boleh melebihi skor maksimum!" sqref="E340">
      <formula1>D340</formula1>
    </dataValidation>
    <dataValidation type="decimal" errorStyle="stop" operator="lessThanOrEqual" allowBlank="1" showDropDown="1" showInputMessage="0" showErrorMessage="1" error="Skor tidak boleh melebihi skor maksimum!" sqref="H340">
      <formula1>G340</formula1>
    </dataValidation>
    <dataValidation type="decimal" errorStyle="stop" operator="lessThanOrEqual" allowBlank="1" showDropDown="1" showInputMessage="0" showErrorMessage="1" error="Skor tidak boleh melebihi skor maksimum!" sqref="K340">
      <formula1>J340</formula1>
    </dataValidation>
    <dataValidation type="decimal" errorStyle="stop" operator="lessThanOrEqual" allowBlank="1" showDropDown="1" showInputMessage="0" showErrorMessage="1" error="Skor tidak boleh melebihi skor maksimum!" sqref="N340">
      <formula1>M340</formula1>
    </dataValidation>
    <dataValidation type="decimal" errorStyle="stop" operator="lessThanOrEqual" allowBlank="1" showDropDown="1" showInputMessage="0" showErrorMessage="1" error="Skor tidak boleh melebihi skor maksimum!" sqref="Q340">
      <formula1>P340</formula1>
    </dataValidation>
    <dataValidation type="decimal" errorStyle="stop" operator="lessThanOrEqual" allowBlank="1" showDropDown="1" showInputMessage="0" showErrorMessage="1" error="Skor tidak boleh melebihi skor maksimum!" sqref="E341">
      <formula1>D341</formula1>
    </dataValidation>
    <dataValidation type="decimal" errorStyle="stop" operator="lessThanOrEqual" allowBlank="1" showDropDown="1" showInputMessage="0" showErrorMessage="1" error="Skor tidak boleh melebihi skor maksimum!" sqref="H341">
      <formula1>G341</formula1>
    </dataValidation>
    <dataValidation type="decimal" errorStyle="stop" operator="lessThanOrEqual" allowBlank="1" showDropDown="1" showInputMessage="0" showErrorMessage="1" error="Skor tidak boleh melebihi skor maksimum!" sqref="K341">
      <formula1>J341</formula1>
    </dataValidation>
    <dataValidation type="decimal" errorStyle="stop" operator="lessThanOrEqual" allowBlank="1" showDropDown="1" showInputMessage="0" showErrorMessage="1" error="Skor tidak boleh melebihi skor maksimum!" sqref="N341">
      <formula1>M341</formula1>
    </dataValidation>
    <dataValidation type="decimal" errorStyle="stop" operator="lessThanOrEqual" allowBlank="1" showDropDown="1" showInputMessage="0" showErrorMessage="1" error="Skor tidak boleh melebihi skor maksimum!" sqref="Q341">
      <formula1>P341</formula1>
    </dataValidation>
    <dataValidation type="decimal" errorStyle="stop" operator="lessThanOrEqual" allowBlank="1" showDropDown="1" showInputMessage="0" showErrorMessage="1" error="Skor tidak boleh melebihi skor maksimum!" sqref="E342">
      <formula1>D342</formula1>
    </dataValidation>
    <dataValidation type="decimal" errorStyle="stop" operator="lessThanOrEqual" allowBlank="1" showDropDown="1" showInputMessage="0" showErrorMessage="1" error="Skor tidak boleh melebihi skor maksimum!" sqref="H342">
      <formula1>G342</formula1>
    </dataValidation>
    <dataValidation type="decimal" errorStyle="stop" operator="lessThanOrEqual" allowBlank="1" showDropDown="1" showInputMessage="0" showErrorMessage="1" error="Skor tidak boleh melebihi skor maksimum!" sqref="K342">
      <formula1>J342</formula1>
    </dataValidation>
    <dataValidation type="decimal" errorStyle="stop" operator="lessThanOrEqual" allowBlank="1" showDropDown="1" showInputMessage="0" showErrorMessage="1" error="Skor tidak boleh melebihi skor maksimum!" sqref="N342">
      <formula1>M342</formula1>
    </dataValidation>
    <dataValidation type="decimal" errorStyle="stop" operator="lessThanOrEqual" allowBlank="1" showDropDown="1" showInputMessage="0" showErrorMessage="1" error="Skor tidak boleh melebihi skor maksimum!" sqref="Q342">
      <formula1>P342</formula1>
    </dataValidation>
    <dataValidation type="decimal" errorStyle="stop" operator="lessThanOrEqual" allowBlank="1" showDropDown="1" showInputMessage="0" showErrorMessage="1" error="Skor tidak boleh melebihi skor maksimum!" sqref="E343">
      <formula1>D343</formula1>
    </dataValidation>
    <dataValidation type="decimal" errorStyle="stop" operator="lessThanOrEqual" allowBlank="1" showDropDown="1" showInputMessage="0" showErrorMessage="1" error="Skor tidak boleh melebihi skor maksimum!" sqref="H343">
      <formula1>G343</formula1>
    </dataValidation>
    <dataValidation type="decimal" errorStyle="stop" operator="lessThanOrEqual" allowBlank="1" showDropDown="1" showInputMessage="0" showErrorMessage="1" error="Skor tidak boleh melebihi skor maksimum!" sqref="K343">
      <formula1>J343</formula1>
    </dataValidation>
    <dataValidation type="decimal" errorStyle="stop" operator="lessThanOrEqual" allowBlank="1" showDropDown="1" showInputMessage="0" showErrorMessage="1" error="Skor tidak boleh melebihi skor maksimum!" sqref="N343">
      <formula1>M343</formula1>
    </dataValidation>
    <dataValidation type="decimal" errorStyle="stop" operator="lessThanOrEqual" allowBlank="1" showDropDown="1" showInputMessage="0" showErrorMessage="1" error="Skor tidak boleh melebihi skor maksimum!" sqref="Q343">
      <formula1>P343</formula1>
    </dataValidation>
    <dataValidation type="decimal" errorStyle="stop" operator="lessThanOrEqual" allowBlank="1" showDropDown="1" showInputMessage="0" showErrorMessage="1" error="Skor tidak boleh melebihi skor maksimum!" sqref="E344">
      <formula1>D344</formula1>
    </dataValidation>
    <dataValidation type="decimal" errorStyle="stop" operator="lessThanOrEqual" allowBlank="1" showDropDown="1" showInputMessage="0" showErrorMessage="1" error="Skor tidak boleh melebihi skor maksimum!" sqref="H344">
      <formula1>G344</formula1>
    </dataValidation>
    <dataValidation type="decimal" errorStyle="stop" operator="lessThanOrEqual" allowBlank="1" showDropDown="1" showInputMessage="0" showErrorMessage="1" error="Skor tidak boleh melebihi skor maksimum!" sqref="K344">
      <formula1>J344</formula1>
    </dataValidation>
    <dataValidation type="decimal" errorStyle="stop" operator="lessThanOrEqual" allowBlank="1" showDropDown="1" showInputMessage="0" showErrorMessage="1" error="Skor tidak boleh melebihi skor maksimum!" sqref="N344">
      <formula1>M344</formula1>
    </dataValidation>
    <dataValidation type="decimal" errorStyle="stop" operator="lessThanOrEqual" allowBlank="1" showDropDown="1" showInputMessage="0" showErrorMessage="1" error="Skor tidak boleh melebihi skor maksimum!" sqref="Q344">
      <formula1>P344</formula1>
    </dataValidation>
    <dataValidation type="decimal" errorStyle="stop" operator="lessThanOrEqual" allowBlank="1" showDropDown="1" showInputMessage="0" showErrorMessage="1" error="Skor tidak boleh melebihi skor maksimum!" sqref="E345">
      <formula1>D345</formula1>
    </dataValidation>
    <dataValidation type="decimal" errorStyle="stop" operator="lessThanOrEqual" allowBlank="1" showDropDown="1" showInputMessage="0" showErrorMessage="1" error="Skor tidak boleh melebihi skor maksimum!" sqref="H345">
      <formula1>G345</formula1>
    </dataValidation>
    <dataValidation type="decimal" errorStyle="stop" operator="lessThanOrEqual" allowBlank="1" showDropDown="1" showInputMessage="0" showErrorMessage="1" error="Skor tidak boleh melebihi skor maksimum!" sqref="K345">
      <formula1>J345</formula1>
    </dataValidation>
    <dataValidation type="decimal" errorStyle="stop" operator="lessThanOrEqual" allowBlank="1" showDropDown="1" showInputMessage="0" showErrorMessage="1" error="Skor tidak boleh melebihi skor maksimum!" sqref="N345">
      <formula1>M345</formula1>
    </dataValidation>
    <dataValidation type="decimal" errorStyle="stop" operator="lessThanOrEqual" allowBlank="1" showDropDown="1" showInputMessage="0" showErrorMessage="1" error="Skor tidak boleh melebihi skor maksimum!" sqref="Q345">
      <formula1>P345</formula1>
    </dataValidation>
    <dataValidation type="decimal" errorStyle="stop" operator="lessThanOrEqual" allowBlank="1" showDropDown="1" showInputMessage="0" showErrorMessage="1" error="Skor tidak boleh melebihi skor maksimum!" sqref="E346">
      <formula1>D346</formula1>
    </dataValidation>
    <dataValidation type="decimal" errorStyle="stop" operator="lessThanOrEqual" allowBlank="1" showDropDown="1" showInputMessage="0" showErrorMessage="1" error="Skor tidak boleh melebihi skor maksimum!" sqref="H346">
      <formula1>G346</formula1>
    </dataValidation>
    <dataValidation type="decimal" errorStyle="stop" operator="lessThanOrEqual" allowBlank="1" showDropDown="1" showInputMessage="0" showErrorMessage="1" error="Skor tidak boleh melebihi skor maksimum!" sqref="K346">
      <formula1>J346</formula1>
    </dataValidation>
    <dataValidation type="decimal" errorStyle="stop" operator="lessThanOrEqual" allowBlank="1" showDropDown="1" showInputMessage="0" showErrorMessage="1" error="Skor tidak boleh melebihi skor maksimum!" sqref="N346">
      <formula1>M346</formula1>
    </dataValidation>
    <dataValidation type="decimal" errorStyle="stop" operator="lessThanOrEqual" allowBlank="1" showDropDown="1" showInputMessage="0" showErrorMessage="1" error="Skor tidak boleh melebihi skor maksimum!" sqref="Q346">
      <formula1>P346</formula1>
    </dataValidation>
    <dataValidation type="decimal" errorStyle="stop" operator="lessThanOrEqual" allowBlank="1" showDropDown="1" showInputMessage="0" showErrorMessage="1" error="Skor tidak boleh melebihi skor maksimum!" sqref="E347">
      <formula1>D347</formula1>
    </dataValidation>
    <dataValidation type="decimal" errorStyle="stop" operator="lessThanOrEqual" allowBlank="1" showDropDown="1" showInputMessage="0" showErrorMessage="1" error="Skor tidak boleh melebihi skor maksimum!" sqref="H347">
      <formula1>G347</formula1>
    </dataValidation>
    <dataValidation type="decimal" errorStyle="stop" operator="lessThanOrEqual" allowBlank="1" showDropDown="1" showInputMessage="0" showErrorMessage="1" error="Skor tidak boleh melebihi skor maksimum!" sqref="K347">
      <formula1>J347</formula1>
    </dataValidation>
    <dataValidation type="decimal" errorStyle="stop" operator="lessThanOrEqual" allowBlank="1" showDropDown="1" showInputMessage="0" showErrorMessage="1" error="Skor tidak boleh melebihi skor maksimum!" sqref="N347">
      <formula1>M347</formula1>
    </dataValidation>
    <dataValidation type="decimal" errorStyle="stop" operator="lessThanOrEqual" allowBlank="1" showDropDown="1" showInputMessage="0" showErrorMessage="1" error="Skor tidak boleh melebihi skor maksimum!" sqref="Q347">
      <formula1>P347</formula1>
    </dataValidation>
    <dataValidation type="decimal" errorStyle="stop" operator="lessThanOrEqual" allowBlank="1" showDropDown="1" showInputMessage="0" showErrorMessage="1" error="Skor tidak boleh melebihi skor maksimum!" sqref="E348">
      <formula1>D348</formula1>
    </dataValidation>
    <dataValidation type="decimal" errorStyle="stop" operator="lessThanOrEqual" allowBlank="1" showDropDown="1" showInputMessage="0" showErrorMessage="1" error="Skor tidak boleh melebihi skor maksimum!" sqref="H348">
      <formula1>G348</formula1>
    </dataValidation>
    <dataValidation type="decimal" errorStyle="stop" operator="lessThanOrEqual" allowBlank="1" showDropDown="1" showInputMessage="0" showErrorMessage="1" error="Skor tidak boleh melebihi skor maksimum!" sqref="K348">
      <formula1>J348</formula1>
    </dataValidation>
    <dataValidation type="decimal" errorStyle="stop" operator="lessThanOrEqual" allowBlank="1" showDropDown="1" showInputMessage="0" showErrorMessage="1" error="Skor tidak boleh melebihi skor maksimum!" sqref="N348">
      <formula1>M348</formula1>
    </dataValidation>
    <dataValidation type="decimal" errorStyle="stop" operator="lessThanOrEqual" allowBlank="1" showDropDown="1" showInputMessage="0" showErrorMessage="1" error="Skor tidak boleh melebihi skor maksimum!" sqref="Q348">
      <formula1>P348</formula1>
    </dataValidation>
    <dataValidation type="decimal" errorStyle="stop" operator="lessThanOrEqual" allowBlank="1" showDropDown="1" showInputMessage="0" showErrorMessage="1" error="Skor tidak boleh melebihi skor maksimum!" sqref="E349">
      <formula1>D349</formula1>
    </dataValidation>
    <dataValidation type="decimal" errorStyle="stop" operator="lessThanOrEqual" allowBlank="1" showDropDown="1" showInputMessage="0" showErrorMessage="1" error="Skor tidak boleh melebihi skor maksimum!" sqref="H349">
      <formula1>G349</formula1>
    </dataValidation>
    <dataValidation type="decimal" errorStyle="stop" operator="lessThanOrEqual" allowBlank="1" showDropDown="1" showInputMessage="0" showErrorMessage="1" error="Skor tidak boleh melebihi skor maksimum!" sqref="K349">
      <formula1>J349</formula1>
    </dataValidation>
    <dataValidation type="decimal" errorStyle="stop" operator="lessThanOrEqual" allowBlank="1" showDropDown="1" showInputMessage="0" showErrorMessage="1" error="Skor tidak boleh melebihi skor maksimum!" sqref="N349">
      <formula1>M349</formula1>
    </dataValidation>
    <dataValidation type="decimal" errorStyle="stop" operator="lessThanOrEqual" allowBlank="1" showDropDown="1" showInputMessage="0" showErrorMessage="1" error="Skor tidak boleh melebihi skor maksimum!" sqref="Q349">
      <formula1>P349</formula1>
    </dataValidation>
    <dataValidation type="decimal" errorStyle="stop" operator="lessThanOrEqual" allowBlank="1" showDropDown="1" showInputMessage="0" showErrorMessage="1" error="Skor tidak boleh melebihi skor maksimum!" sqref="E350">
      <formula1>D350</formula1>
    </dataValidation>
    <dataValidation type="decimal" errorStyle="stop" operator="lessThanOrEqual" allowBlank="1" showDropDown="1" showInputMessage="0" showErrorMessage="1" error="Skor tidak boleh melebihi skor maksimum!" sqref="H350">
      <formula1>G350</formula1>
    </dataValidation>
    <dataValidation type="decimal" errorStyle="stop" operator="lessThanOrEqual" allowBlank="1" showDropDown="1" showInputMessage="0" showErrorMessage="1" error="Skor tidak boleh melebihi skor maksimum!" sqref="K350">
      <formula1>J350</formula1>
    </dataValidation>
    <dataValidation type="decimal" errorStyle="stop" operator="lessThanOrEqual" allowBlank="1" showDropDown="1" showInputMessage="0" showErrorMessage="1" error="Skor tidak boleh melebihi skor maksimum!" sqref="N350">
      <formula1>M350</formula1>
    </dataValidation>
    <dataValidation type="decimal" errorStyle="stop" operator="lessThanOrEqual" allowBlank="1" showDropDown="1" showInputMessage="0" showErrorMessage="1" error="Skor tidak boleh melebihi skor maksimum!" sqref="Q350">
      <formula1>P350</formula1>
    </dataValidation>
    <dataValidation type="decimal" errorStyle="stop" operator="lessThanOrEqual" allowBlank="1" showDropDown="1" showInputMessage="0" showErrorMessage="1" error="Skor tidak boleh melebihi skor maksimum!" sqref="E351">
      <formula1>D351</formula1>
    </dataValidation>
    <dataValidation type="decimal" errorStyle="stop" operator="lessThanOrEqual" allowBlank="1" showDropDown="1" showInputMessage="0" showErrorMessage="1" error="Skor tidak boleh melebihi skor maksimum!" sqref="H351">
      <formula1>G351</formula1>
    </dataValidation>
    <dataValidation type="decimal" errorStyle="stop" operator="lessThanOrEqual" allowBlank="1" showDropDown="1" showInputMessage="0" showErrorMessage="1" error="Skor tidak boleh melebihi skor maksimum!" sqref="K351">
      <formula1>J351</formula1>
    </dataValidation>
    <dataValidation type="decimal" errorStyle="stop" operator="lessThanOrEqual" allowBlank="1" showDropDown="1" showInputMessage="0" showErrorMessage="1" error="Skor tidak boleh melebihi skor maksimum!" sqref="N351">
      <formula1>M351</formula1>
    </dataValidation>
    <dataValidation type="decimal" errorStyle="stop" operator="lessThanOrEqual" allowBlank="1" showDropDown="1" showInputMessage="0" showErrorMessage="1" error="Skor tidak boleh melebihi skor maksimum!" sqref="Q351">
      <formula1>P351</formula1>
    </dataValidation>
    <dataValidation type="decimal" errorStyle="stop" operator="lessThanOrEqual" allowBlank="1" showDropDown="1" showInputMessage="0" showErrorMessage="1" error="Skor tidak boleh melebihi skor maksimum!" sqref="E352">
      <formula1>D352</formula1>
    </dataValidation>
    <dataValidation type="decimal" errorStyle="stop" operator="lessThanOrEqual" allowBlank="1" showDropDown="1" showInputMessage="0" showErrorMessage="1" error="Skor tidak boleh melebihi skor maksimum!" sqref="H352">
      <formula1>G352</formula1>
    </dataValidation>
    <dataValidation type="decimal" errorStyle="stop" operator="lessThanOrEqual" allowBlank="1" showDropDown="1" showInputMessage="0" showErrorMessage="1" error="Skor tidak boleh melebihi skor maksimum!" sqref="K352">
      <formula1>J352</formula1>
    </dataValidation>
    <dataValidation type="decimal" errorStyle="stop" operator="lessThanOrEqual" allowBlank="1" showDropDown="1" showInputMessage="0" showErrorMessage="1" error="Skor tidak boleh melebihi skor maksimum!" sqref="N352">
      <formula1>M352</formula1>
    </dataValidation>
    <dataValidation type="decimal" errorStyle="stop" operator="lessThanOrEqual" allowBlank="1" showDropDown="1" showInputMessage="0" showErrorMessage="1" error="Skor tidak boleh melebihi skor maksimum!" sqref="Q352">
      <formula1>P352</formula1>
    </dataValidation>
    <dataValidation type="decimal" errorStyle="stop" operator="lessThanOrEqual" allowBlank="1" showDropDown="1" showInputMessage="0" showErrorMessage="1" error="Skor tidak boleh melebihi skor maksimum!" sqref="E353">
      <formula1>D353</formula1>
    </dataValidation>
    <dataValidation type="decimal" errorStyle="stop" operator="lessThanOrEqual" allowBlank="1" showDropDown="1" showInputMessage="0" showErrorMessage="1" error="Skor tidak boleh melebihi skor maksimum!" sqref="H353">
      <formula1>G353</formula1>
    </dataValidation>
    <dataValidation type="decimal" errorStyle="stop" operator="lessThanOrEqual" allowBlank="1" showDropDown="1" showInputMessage="0" showErrorMessage="1" error="Skor tidak boleh melebihi skor maksimum!" sqref="K353">
      <formula1>J353</formula1>
    </dataValidation>
    <dataValidation type="decimal" errorStyle="stop" operator="lessThanOrEqual" allowBlank="1" showDropDown="1" showInputMessage="0" showErrorMessage="1" error="Skor tidak boleh melebihi skor maksimum!" sqref="N353">
      <formula1>M353</formula1>
    </dataValidation>
    <dataValidation type="decimal" errorStyle="stop" operator="lessThanOrEqual" allowBlank="1" showDropDown="1" showInputMessage="0" showErrorMessage="1" error="Skor tidak boleh melebihi skor maksimum!" sqref="Q353">
      <formula1>P353</formula1>
    </dataValidation>
    <dataValidation type="decimal" errorStyle="stop" operator="lessThanOrEqual" allowBlank="1" showDropDown="1" showInputMessage="0" showErrorMessage="1" error="Skor tidak boleh melebihi skor maksimum!" sqref="E354">
      <formula1>D354</formula1>
    </dataValidation>
    <dataValidation type="decimal" errorStyle="stop" operator="lessThanOrEqual" allowBlank="1" showDropDown="1" showInputMessage="0" showErrorMessage="1" error="Skor tidak boleh melebihi skor maksimum!" sqref="H354">
      <formula1>G354</formula1>
    </dataValidation>
    <dataValidation type="decimal" errorStyle="stop" operator="lessThanOrEqual" allowBlank="1" showDropDown="1" showInputMessage="0" showErrorMessage="1" error="Skor tidak boleh melebihi skor maksimum!" sqref="K354">
      <formula1>J354</formula1>
    </dataValidation>
    <dataValidation type="decimal" errorStyle="stop" operator="lessThanOrEqual" allowBlank="1" showDropDown="1" showInputMessage="0" showErrorMessage="1" error="Skor tidak boleh melebihi skor maksimum!" sqref="N354">
      <formula1>M354</formula1>
    </dataValidation>
    <dataValidation type="decimal" errorStyle="stop" operator="lessThanOrEqual" allowBlank="1" showDropDown="1" showInputMessage="0" showErrorMessage="1" error="Skor tidak boleh melebihi skor maksimum!" sqref="Q354">
      <formula1>P354</formula1>
    </dataValidation>
    <dataValidation type="decimal" errorStyle="stop" operator="lessThanOrEqual" allowBlank="1" showDropDown="1" showInputMessage="0" showErrorMessage="1" error="Skor tidak boleh melebihi skor maksimum!" sqref="E355">
      <formula1>D355</formula1>
    </dataValidation>
    <dataValidation type="decimal" errorStyle="stop" operator="lessThanOrEqual" allowBlank="1" showDropDown="1" showInputMessage="0" showErrorMessage="1" error="Skor tidak boleh melebihi skor maksimum!" sqref="H355">
      <formula1>G355</formula1>
    </dataValidation>
    <dataValidation type="decimal" errorStyle="stop" operator="lessThanOrEqual" allowBlank="1" showDropDown="1" showInputMessage="0" showErrorMessage="1" error="Skor tidak boleh melebihi skor maksimum!" sqref="K355">
      <formula1>J355</formula1>
    </dataValidation>
    <dataValidation type="decimal" errorStyle="stop" operator="lessThanOrEqual" allowBlank="1" showDropDown="1" showInputMessage="0" showErrorMessage="1" error="Skor tidak boleh melebihi skor maksimum!" sqref="N355">
      <formula1>M355</formula1>
    </dataValidation>
    <dataValidation type="decimal" errorStyle="stop" operator="lessThanOrEqual" allowBlank="1" showDropDown="1" showInputMessage="0" showErrorMessage="1" error="Skor tidak boleh melebihi skor maksimum!" sqref="Q355">
      <formula1>P355</formula1>
    </dataValidation>
    <dataValidation type="decimal" errorStyle="stop" operator="lessThanOrEqual" allowBlank="1" showDropDown="1" showInputMessage="0" showErrorMessage="1" error="Skor tidak boleh melebihi skor maksimum!" sqref="E356">
      <formula1>D356</formula1>
    </dataValidation>
    <dataValidation type="decimal" errorStyle="stop" operator="lessThanOrEqual" allowBlank="1" showDropDown="1" showInputMessage="0" showErrorMessage="1" error="Skor tidak boleh melebihi skor maksimum!" sqref="H356">
      <formula1>G356</formula1>
    </dataValidation>
    <dataValidation type="decimal" errorStyle="stop" operator="lessThanOrEqual" allowBlank="1" showDropDown="1" showInputMessage="0" showErrorMessage="1" error="Skor tidak boleh melebihi skor maksimum!" sqref="K356">
      <formula1>J356</formula1>
    </dataValidation>
    <dataValidation type="decimal" errorStyle="stop" operator="lessThanOrEqual" allowBlank="1" showDropDown="1" showInputMessage="0" showErrorMessage="1" error="Skor tidak boleh melebihi skor maksimum!" sqref="N356">
      <formula1>M356</formula1>
    </dataValidation>
    <dataValidation type="decimal" errorStyle="stop" operator="lessThanOrEqual" allowBlank="1" showDropDown="1" showInputMessage="0" showErrorMessage="1" error="Skor tidak boleh melebihi skor maksimum!" sqref="Q356">
      <formula1>P356</formula1>
    </dataValidation>
    <dataValidation type="decimal" errorStyle="stop" operator="lessThanOrEqual" allowBlank="1" showDropDown="1" showInputMessage="0" showErrorMessage="1" error="Skor tidak boleh melebihi skor maksimum!" sqref="E357">
      <formula1>D357</formula1>
    </dataValidation>
    <dataValidation type="decimal" errorStyle="stop" operator="lessThanOrEqual" allowBlank="1" showDropDown="1" showInputMessage="0" showErrorMessage="1" error="Skor tidak boleh melebihi skor maksimum!" sqref="H357">
      <formula1>G357</formula1>
    </dataValidation>
    <dataValidation type="decimal" errorStyle="stop" operator="lessThanOrEqual" allowBlank="1" showDropDown="1" showInputMessage="0" showErrorMessage="1" error="Skor tidak boleh melebihi skor maksimum!" sqref="K357">
      <formula1>J357</formula1>
    </dataValidation>
    <dataValidation type="decimal" errorStyle="stop" operator="lessThanOrEqual" allowBlank="1" showDropDown="1" showInputMessage="0" showErrorMessage="1" error="Skor tidak boleh melebihi skor maksimum!" sqref="N357">
      <formula1>M357</formula1>
    </dataValidation>
    <dataValidation type="decimal" errorStyle="stop" operator="lessThanOrEqual" allowBlank="1" showDropDown="1" showInputMessage="0" showErrorMessage="1" error="Skor tidak boleh melebihi skor maksimum!" sqref="Q357">
      <formula1>P357</formula1>
    </dataValidation>
    <dataValidation type="decimal" errorStyle="stop" operator="lessThanOrEqual" allowBlank="1" showDropDown="1" showInputMessage="0" showErrorMessage="1" error="Skor tidak boleh melebihi skor maksimum!" sqref="E358">
      <formula1>D358</formula1>
    </dataValidation>
    <dataValidation type="decimal" errorStyle="stop" operator="lessThanOrEqual" allowBlank="1" showDropDown="1" showInputMessage="0" showErrorMessage="1" error="Skor tidak boleh melebihi skor maksimum!" sqref="H358">
      <formula1>G358</formula1>
    </dataValidation>
    <dataValidation type="decimal" errorStyle="stop" operator="lessThanOrEqual" allowBlank="1" showDropDown="1" showInputMessage="0" showErrorMessage="1" error="Skor tidak boleh melebihi skor maksimum!" sqref="K358">
      <formula1>J358</formula1>
    </dataValidation>
    <dataValidation type="decimal" errorStyle="stop" operator="lessThanOrEqual" allowBlank="1" showDropDown="1" showInputMessage="0" showErrorMessage="1" error="Skor tidak boleh melebihi skor maksimum!" sqref="N358">
      <formula1>M358</formula1>
    </dataValidation>
    <dataValidation type="decimal" errorStyle="stop" operator="lessThanOrEqual" allowBlank="1" showDropDown="1" showInputMessage="0" showErrorMessage="1" error="Skor tidak boleh melebihi skor maksimum!" sqref="Q358">
      <formula1>P358</formula1>
    </dataValidation>
    <dataValidation type="decimal" errorStyle="stop" operator="lessThanOrEqual" allowBlank="1" showDropDown="1" showInputMessage="0" showErrorMessage="1" error="Skor tidak boleh melebihi skor maksimum!" sqref="E359">
      <formula1>D359</formula1>
    </dataValidation>
    <dataValidation type="decimal" errorStyle="stop" operator="lessThanOrEqual" allowBlank="1" showDropDown="1" showInputMessage="0" showErrorMessage="1" error="Skor tidak boleh melebihi skor maksimum!" sqref="H359">
      <formula1>G359</formula1>
    </dataValidation>
    <dataValidation type="decimal" errorStyle="stop" operator="lessThanOrEqual" allowBlank="1" showDropDown="1" showInputMessage="0" showErrorMessage="1" error="Skor tidak boleh melebihi skor maksimum!" sqref="K359">
      <formula1>J359</formula1>
    </dataValidation>
    <dataValidation type="decimal" errorStyle="stop" operator="lessThanOrEqual" allowBlank="1" showDropDown="1" showInputMessage="0" showErrorMessage="1" error="Skor tidak boleh melebihi skor maksimum!" sqref="N359">
      <formula1>M359</formula1>
    </dataValidation>
    <dataValidation type="decimal" errorStyle="stop" operator="lessThanOrEqual" allowBlank="1" showDropDown="1" showInputMessage="0" showErrorMessage="1" error="Skor tidak boleh melebihi skor maksimum!" sqref="Q359">
      <formula1>P359</formula1>
    </dataValidation>
    <dataValidation type="decimal" errorStyle="stop" operator="lessThanOrEqual" allowBlank="1" showDropDown="1" showInputMessage="0" showErrorMessage="1" error="Skor tidak boleh melebihi skor maksimum!" sqref="E360">
      <formula1>D360</formula1>
    </dataValidation>
    <dataValidation type="decimal" errorStyle="stop" operator="lessThanOrEqual" allowBlank="1" showDropDown="1" showInputMessage="0" showErrorMessage="1" error="Skor tidak boleh melebihi skor maksimum!" sqref="H360">
      <formula1>G360</formula1>
    </dataValidation>
    <dataValidation type="decimal" errorStyle="stop" operator="lessThanOrEqual" allowBlank="1" showDropDown="1" showInputMessage="0" showErrorMessage="1" error="Skor tidak boleh melebihi skor maksimum!" sqref="K360">
      <formula1>J360</formula1>
    </dataValidation>
    <dataValidation type="decimal" errorStyle="stop" operator="lessThanOrEqual" allowBlank="1" showDropDown="1" showInputMessage="0" showErrorMessage="1" error="Skor tidak boleh melebihi skor maksimum!" sqref="N360">
      <formula1>M360</formula1>
    </dataValidation>
    <dataValidation type="decimal" errorStyle="stop" operator="lessThanOrEqual" allowBlank="1" showDropDown="1" showInputMessage="0" showErrorMessage="1" error="Skor tidak boleh melebihi skor maksimum!" sqref="Q360">
      <formula1>P360</formula1>
    </dataValidation>
    <dataValidation type="decimal" errorStyle="stop" operator="lessThanOrEqual" allowBlank="1" showDropDown="1" showInputMessage="0" showErrorMessage="1" error="Skor tidak boleh melebihi skor maksimum!" sqref="E361">
      <formula1>D361</formula1>
    </dataValidation>
    <dataValidation type="decimal" errorStyle="stop" operator="lessThanOrEqual" allowBlank="1" showDropDown="1" showInputMessage="0" showErrorMessage="1" error="Skor tidak boleh melebihi skor maksimum!" sqref="H361">
      <formula1>G361</formula1>
    </dataValidation>
    <dataValidation type="decimal" errorStyle="stop" operator="lessThanOrEqual" allowBlank="1" showDropDown="1" showInputMessage="0" showErrorMessage="1" error="Skor tidak boleh melebihi skor maksimum!" sqref="K361">
      <formula1>J361</formula1>
    </dataValidation>
    <dataValidation type="decimal" errorStyle="stop" operator="lessThanOrEqual" allowBlank="1" showDropDown="1" showInputMessage="0" showErrorMessage="1" error="Skor tidak boleh melebihi skor maksimum!" sqref="N361">
      <formula1>M361</formula1>
    </dataValidation>
    <dataValidation type="decimal" errorStyle="stop" operator="lessThanOrEqual" allowBlank="1" showDropDown="1" showInputMessage="0" showErrorMessage="1" error="Skor tidak boleh melebihi skor maksimum!" sqref="Q361">
      <formula1>P361</formula1>
    </dataValidation>
    <dataValidation type="decimal" errorStyle="stop" operator="lessThanOrEqual" allowBlank="1" showDropDown="1" showInputMessage="0" showErrorMessage="1" error="Skor tidak boleh melebihi skor maksimum!" sqref="E362">
      <formula1>D362</formula1>
    </dataValidation>
    <dataValidation type="decimal" errorStyle="stop" operator="lessThanOrEqual" allowBlank="1" showDropDown="1" showInputMessage="0" showErrorMessage="1" error="Skor tidak boleh melebihi skor maksimum!" sqref="H362">
      <formula1>G362</formula1>
    </dataValidation>
    <dataValidation type="decimal" errorStyle="stop" operator="lessThanOrEqual" allowBlank="1" showDropDown="1" showInputMessage="0" showErrorMessage="1" error="Skor tidak boleh melebihi skor maksimum!" sqref="K362">
      <formula1>J362</formula1>
    </dataValidation>
    <dataValidation type="decimal" errorStyle="stop" operator="lessThanOrEqual" allowBlank="1" showDropDown="1" showInputMessage="0" showErrorMessage="1" error="Skor tidak boleh melebihi skor maksimum!" sqref="N362">
      <formula1>M362</formula1>
    </dataValidation>
    <dataValidation type="decimal" errorStyle="stop" operator="lessThanOrEqual" allowBlank="1" showDropDown="1" showInputMessage="0" showErrorMessage="1" error="Skor tidak boleh melebihi skor maksimum!" sqref="Q362">
      <formula1>P362</formula1>
    </dataValidation>
    <dataValidation type="decimal" errorStyle="stop" operator="lessThanOrEqual" allowBlank="1" showDropDown="1" showInputMessage="0" showErrorMessage="1" error="Skor tidak boleh melebihi skor maksimum!" sqref="E363">
      <formula1>D363</formula1>
    </dataValidation>
    <dataValidation type="decimal" errorStyle="stop" operator="lessThanOrEqual" allowBlank="1" showDropDown="1" showInputMessage="0" showErrorMessage="1" error="Skor tidak boleh melebihi skor maksimum!" sqref="H363">
      <formula1>G363</formula1>
    </dataValidation>
    <dataValidation type="decimal" errorStyle="stop" operator="lessThanOrEqual" allowBlank="1" showDropDown="1" showInputMessage="0" showErrorMessage="1" error="Skor tidak boleh melebihi skor maksimum!" sqref="K363">
      <formula1>J363</formula1>
    </dataValidation>
    <dataValidation type="decimal" errorStyle="stop" operator="lessThanOrEqual" allowBlank="1" showDropDown="1" showInputMessage="0" showErrorMessage="1" error="Skor tidak boleh melebihi skor maksimum!" sqref="N363">
      <formula1>M363</formula1>
    </dataValidation>
    <dataValidation type="decimal" errorStyle="stop" operator="lessThanOrEqual" allowBlank="1" showDropDown="1" showInputMessage="0" showErrorMessage="1" error="Skor tidak boleh melebihi skor maksimum!" sqref="Q363">
      <formula1>P363</formula1>
    </dataValidation>
    <dataValidation type="decimal" errorStyle="stop" operator="lessThanOrEqual" allowBlank="1" showDropDown="1" showInputMessage="0" showErrorMessage="1" error="Skor tidak boleh melebihi skor maksimum!" sqref="E364">
      <formula1>D364</formula1>
    </dataValidation>
    <dataValidation type="decimal" errorStyle="stop" operator="lessThanOrEqual" allowBlank="1" showDropDown="1" showInputMessage="0" showErrorMessage="1" error="Skor tidak boleh melebihi skor maksimum!" sqref="H364">
      <formula1>G364</formula1>
    </dataValidation>
    <dataValidation type="decimal" errorStyle="stop" operator="lessThanOrEqual" allowBlank="1" showDropDown="1" showInputMessage="0" showErrorMessage="1" error="Skor tidak boleh melebihi skor maksimum!" sqref="K364">
      <formula1>J364</formula1>
    </dataValidation>
    <dataValidation type="decimal" errorStyle="stop" operator="lessThanOrEqual" allowBlank="1" showDropDown="1" showInputMessage="0" showErrorMessage="1" error="Skor tidak boleh melebihi skor maksimum!" sqref="N364">
      <formula1>M364</formula1>
    </dataValidation>
    <dataValidation type="decimal" errorStyle="stop" operator="lessThanOrEqual" allowBlank="1" showDropDown="1" showInputMessage="0" showErrorMessage="1" error="Skor tidak boleh melebihi skor maksimum!" sqref="Q364">
      <formula1>P364</formula1>
    </dataValidation>
    <dataValidation type="decimal" errorStyle="stop" operator="lessThanOrEqual" allowBlank="1" showDropDown="1" showInputMessage="0" showErrorMessage="1" error="Skor tidak boleh melebihi skor maksimum!" sqref="E365">
      <formula1>D365</formula1>
    </dataValidation>
    <dataValidation type="decimal" errorStyle="stop" operator="lessThanOrEqual" allowBlank="1" showDropDown="1" showInputMessage="0" showErrorMessage="1" error="Skor tidak boleh melebihi skor maksimum!" sqref="H365">
      <formula1>G365</formula1>
    </dataValidation>
    <dataValidation type="decimal" errorStyle="stop" operator="lessThanOrEqual" allowBlank="1" showDropDown="1" showInputMessage="0" showErrorMessage="1" error="Skor tidak boleh melebihi skor maksimum!" sqref="K365">
      <formula1>J365</formula1>
    </dataValidation>
    <dataValidation type="decimal" errorStyle="stop" operator="lessThanOrEqual" allowBlank="1" showDropDown="1" showInputMessage="0" showErrorMessage="1" error="Skor tidak boleh melebihi skor maksimum!" sqref="N365">
      <formula1>M365</formula1>
    </dataValidation>
    <dataValidation type="decimal" errorStyle="stop" operator="lessThanOrEqual" allowBlank="1" showDropDown="1" showInputMessage="0" showErrorMessage="1" error="Skor tidak boleh melebihi skor maksimum!" sqref="Q365">
      <formula1>P365</formula1>
    </dataValidation>
    <dataValidation type="decimal" errorStyle="stop" operator="lessThanOrEqual" allowBlank="1" showDropDown="1" showInputMessage="0" showErrorMessage="1" error="Skor tidak boleh melebihi skor maksimum!" sqref="E366">
      <formula1>D366</formula1>
    </dataValidation>
    <dataValidation type="decimal" errorStyle="stop" operator="lessThanOrEqual" allowBlank="1" showDropDown="1" showInputMessage="0" showErrorMessage="1" error="Skor tidak boleh melebihi skor maksimum!" sqref="H366">
      <formula1>G366</formula1>
    </dataValidation>
    <dataValidation type="decimal" errorStyle="stop" operator="lessThanOrEqual" allowBlank="1" showDropDown="1" showInputMessage="0" showErrorMessage="1" error="Skor tidak boleh melebihi skor maksimum!" sqref="K366">
      <formula1>J366</formula1>
    </dataValidation>
    <dataValidation type="decimal" errorStyle="stop" operator="lessThanOrEqual" allowBlank="1" showDropDown="1" showInputMessage="0" showErrorMessage="1" error="Skor tidak boleh melebihi skor maksimum!" sqref="N366">
      <formula1>M366</formula1>
    </dataValidation>
    <dataValidation type="decimal" errorStyle="stop" operator="lessThanOrEqual" allowBlank="1" showDropDown="1" showInputMessage="0" showErrorMessage="1" error="Skor tidak boleh melebihi skor maksimum!" sqref="Q366">
      <formula1>P366</formula1>
    </dataValidation>
    <dataValidation type="decimal" errorStyle="stop" operator="lessThanOrEqual" allowBlank="1" showDropDown="1" showInputMessage="0" showErrorMessage="1" error="Skor tidak boleh melebihi skor maksimum!" sqref="E367">
      <formula1>D367</formula1>
    </dataValidation>
    <dataValidation type="decimal" errorStyle="stop" operator="lessThanOrEqual" allowBlank="1" showDropDown="1" showInputMessage="0" showErrorMessage="1" error="Skor tidak boleh melebihi skor maksimum!" sqref="H367">
      <formula1>G367</formula1>
    </dataValidation>
    <dataValidation type="decimal" errorStyle="stop" operator="lessThanOrEqual" allowBlank="1" showDropDown="1" showInputMessage="0" showErrorMessage="1" error="Skor tidak boleh melebihi skor maksimum!" sqref="K367">
      <formula1>J367</formula1>
    </dataValidation>
    <dataValidation type="decimal" errorStyle="stop" operator="lessThanOrEqual" allowBlank="1" showDropDown="1" showInputMessage="0" showErrorMessage="1" error="Skor tidak boleh melebihi skor maksimum!" sqref="N367">
      <formula1>M367</formula1>
    </dataValidation>
    <dataValidation type="decimal" errorStyle="stop" operator="lessThanOrEqual" allowBlank="1" showDropDown="1" showInputMessage="0" showErrorMessage="1" error="Skor tidak boleh melebihi skor maksimum!" sqref="Q367">
      <formula1>P367</formula1>
    </dataValidation>
    <dataValidation type="decimal" errorStyle="stop" operator="lessThanOrEqual" allowBlank="1" showDropDown="1" showInputMessage="0" showErrorMessage="1" error="Skor tidak boleh melebihi skor maksimum!" sqref="E368">
      <formula1>D368</formula1>
    </dataValidation>
    <dataValidation type="decimal" errorStyle="stop" operator="lessThanOrEqual" allowBlank="1" showDropDown="1" showInputMessage="0" showErrorMessage="1" error="Skor tidak boleh melebihi skor maksimum!" sqref="H368">
      <formula1>G368</formula1>
    </dataValidation>
    <dataValidation type="decimal" errorStyle="stop" operator="lessThanOrEqual" allowBlank="1" showDropDown="1" showInputMessage="0" showErrorMessage="1" error="Skor tidak boleh melebihi skor maksimum!" sqref="K368">
      <formula1>J368</formula1>
    </dataValidation>
    <dataValidation type="decimal" errorStyle="stop" operator="lessThanOrEqual" allowBlank="1" showDropDown="1" showInputMessage="0" showErrorMessage="1" error="Skor tidak boleh melebihi skor maksimum!" sqref="N368">
      <formula1>M368</formula1>
    </dataValidation>
    <dataValidation type="decimal" errorStyle="stop" operator="lessThanOrEqual" allowBlank="1" showDropDown="1" showInputMessage="0" showErrorMessage="1" error="Skor tidak boleh melebihi skor maksimum!" sqref="Q368">
      <formula1>P368</formula1>
    </dataValidation>
    <dataValidation type="decimal" errorStyle="stop" operator="lessThanOrEqual" allowBlank="1" showDropDown="1" showInputMessage="0" showErrorMessage="1" error="Skor tidak boleh melebihi skor maksimum!" sqref="E369">
      <formula1>D369</formula1>
    </dataValidation>
    <dataValidation type="decimal" errorStyle="stop" operator="lessThanOrEqual" allowBlank="1" showDropDown="1" showInputMessage="0" showErrorMessage="1" error="Skor tidak boleh melebihi skor maksimum!" sqref="H369">
      <formula1>G369</formula1>
    </dataValidation>
    <dataValidation type="decimal" errorStyle="stop" operator="lessThanOrEqual" allowBlank="1" showDropDown="1" showInputMessage="0" showErrorMessage="1" error="Skor tidak boleh melebihi skor maksimum!" sqref="K369">
      <formula1>J369</formula1>
    </dataValidation>
    <dataValidation type="decimal" errorStyle="stop" operator="lessThanOrEqual" allowBlank="1" showDropDown="1" showInputMessage="0" showErrorMessage="1" error="Skor tidak boleh melebihi skor maksimum!" sqref="N369">
      <formula1>M369</formula1>
    </dataValidation>
    <dataValidation type="decimal" errorStyle="stop" operator="lessThanOrEqual" allowBlank="1" showDropDown="1" showInputMessage="0" showErrorMessage="1" error="Skor tidak boleh melebihi skor maksimum!" sqref="Q369">
      <formula1>P369</formula1>
    </dataValidation>
    <dataValidation type="decimal" errorStyle="stop" operator="lessThanOrEqual" allowBlank="1" showDropDown="1" showInputMessage="0" showErrorMessage="1" error="Skor tidak boleh melebihi skor maksimum!" sqref="E370">
      <formula1>D370</formula1>
    </dataValidation>
    <dataValidation type="decimal" errorStyle="stop" operator="lessThanOrEqual" allowBlank="1" showDropDown="1" showInputMessage="0" showErrorMessage="1" error="Skor tidak boleh melebihi skor maksimum!" sqref="H370">
      <formula1>G370</formula1>
    </dataValidation>
    <dataValidation type="decimal" errorStyle="stop" operator="lessThanOrEqual" allowBlank="1" showDropDown="1" showInputMessage="0" showErrorMessage="1" error="Skor tidak boleh melebihi skor maksimum!" sqref="K370">
      <formula1>J370</formula1>
    </dataValidation>
    <dataValidation type="decimal" errorStyle="stop" operator="lessThanOrEqual" allowBlank="1" showDropDown="1" showInputMessage="0" showErrorMessage="1" error="Skor tidak boleh melebihi skor maksimum!" sqref="N370">
      <formula1>M370</formula1>
    </dataValidation>
    <dataValidation type="decimal" errorStyle="stop" operator="lessThanOrEqual" allowBlank="1" showDropDown="1" showInputMessage="0" showErrorMessage="1" error="Skor tidak boleh melebihi skor maksimum!" sqref="Q370">
      <formula1>P370</formula1>
    </dataValidation>
    <dataValidation type="decimal" errorStyle="stop" operator="lessThanOrEqual" allowBlank="1" showDropDown="1" showInputMessage="0" showErrorMessage="1" error="Skor tidak boleh melebihi skor maksimum!" sqref="E371">
      <formula1>D371</formula1>
    </dataValidation>
    <dataValidation type="decimal" errorStyle="stop" operator="lessThanOrEqual" allowBlank="1" showDropDown="1" showInputMessage="0" showErrorMessage="1" error="Skor tidak boleh melebihi skor maksimum!" sqref="H371">
      <formula1>G371</formula1>
    </dataValidation>
    <dataValidation type="decimal" errorStyle="stop" operator="lessThanOrEqual" allowBlank="1" showDropDown="1" showInputMessage="0" showErrorMessage="1" error="Skor tidak boleh melebihi skor maksimum!" sqref="K371">
      <formula1>J371</formula1>
    </dataValidation>
    <dataValidation type="decimal" errorStyle="stop" operator="lessThanOrEqual" allowBlank="1" showDropDown="1" showInputMessage="0" showErrorMessage="1" error="Skor tidak boleh melebihi skor maksimum!" sqref="N371">
      <formula1>M371</formula1>
    </dataValidation>
    <dataValidation type="decimal" errorStyle="stop" operator="lessThanOrEqual" allowBlank="1" showDropDown="1" showInputMessage="0" showErrorMessage="1" error="Skor tidak boleh melebihi skor maksimum!" sqref="Q371">
      <formula1>P371</formula1>
    </dataValidation>
    <dataValidation type="decimal" errorStyle="stop" operator="lessThanOrEqual" allowBlank="1" showDropDown="1" showInputMessage="0" showErrorMessage="1" error="Skor tidak boleh melebihi skor maksimum!" sqref="E372">
      <formula1>D372</formula1>
    </dataValidation>
    <dataValidation type="decimal" errorStyle="stop" operator="lessThanOrEqual" allowBlank="1" showDropDown="1" showInputMessage="0" showErrorMessage="1" error="Skor tidak boleh melebihi skor maksimum!" sqref="H372">
      <formula1>G372</formula1>
    </dataValidation>
    <dataValidation type="decimal" errorStyle="stop" operator="lessThanOrEqual" allowBlank="1" showDropDown="1" showInputMessage="0" showErrorMessage="1" error="Skor tidak boleh melebihi skor maksimum!" sqref="K372">
      <formula1>J372</formula1>
    </dataValidation>
    <dataValidation type="decimal" errorStyle="stop" operator="lessThanOrEqual" allowBlank="1" showDropDown="1" showInputMessage="0" showErrorMessage="1" error="Skor tidak boleh melebihi skor maksimum!" sqref="N372">
      <formula1>M372</formula1>
    </dataValidation>
    <dataValidation type="decimal" errorStyle="stop" operator="lessThanOrEqual" allowBlank="1" showDropDown="1" showInputMessage="0" showErrorMessage="1" error="Skor tidak boleh melebihi skor maksimum!" sqref="Q372">
      <formula1>P372</formula1>
    </dataValidation>
    <dataValidation type="decimal" errorStyle="stop" operator="lessThanOrEqual" allowBlank="1" showDropDown="1" showInputMessage="0" showErrorMessage="1" error="Skor tidak boleh melebihi skor maksimum!" sqref="E373">
      <formula1>D373</formula1>
    </dataValidation>
    <dataValidation type="decimal" errorStyle="stop" operator="lessThanOrEqual" allowBlank="1" showDropDown="1" showInputMessage="0" showErrorMessage="1" error="Skor tidak boleh melebihi skor maksimum!" sqref="H373">
      <formula1>G373</formula1>
    </dataValidation>
    <dataValidation type="decimal" errorStyle="stop" operator="lessThanOrEqual" allowBlank="1" showDropDown="1" showInputMessage="0" showErrorMessage="1" error="Skor tidak boleh melebihi skor maksimum!" sqref="K373">
      <formula1>J373</formula1>
    </dataValidation>
    <dataValidation type="decimal" errorStyle="stop" operator="lessThanOrEqual" allowBlank="1" showDropDown="1" showInputMessage="0" showErrorMessage="1" error="Skor tidak boleh melebihi skor maksimum!" sqref="N373">
      <formula1>M373</formula1>
    </dataValidation>
    <dataValidation type="decimal" errorStyle="stop" operator="lessThanOrEqual" allowBlank="1" showDropDown="1" showInputMessage="0" showErrorMessage="1" error="Skor tidak boleh melebihi skor maksimum!" sqref="Q373">
      <formula1>P373</formula1>
    </dataValidation>
    <dataValidation type="decimal" errorStyle="stop" operator="lessThanOrEqual" allowBlank="1" showDropDown="1" showInputMessage="0" showErrorMessage="1" error="Skor tidak boleh melebihi skor maksimum!" sqref="E374">
      <formula1>D374</formula1>
    </dataValidation>
    <dataValidation type="decimal" errorStyle="stop" operator="lessThanOrEqual" allowBlank="1" showDropDown="1" showInputMessage="0" showErrorMessage="1" error="Skor tidak boleh melebihi skor maksimum!" sqref="H374">
      <formula1>G374</formula1>
    </dataValidation>
    <dataValidation type="decimal" errorStyle="stop" operator="lessThanOrEqual" allowBlank="1" showDropDown="1" showInputMessage="0" showErrorMessage="1" error="Skor tidak boleh melebihi skor maksimum!" sqref="K374">
      <formula1>J374</formula1>
    </dataValidation>
    <dataValidation type="decimal" errorStyle="stop" operator="lessThanOrEqual" allowBlank="1" showDropDown="1" showInputMessage="0" showErrorMessage="1" error="Skor tidak boleh melebihi skor maksimum!" sqref="N374">
      <formula1>M374</formula1>
    </dataValidation>
    <dataValidation type="decimal" errorStyle="stop" operator="lessThanOrEqual" allowBlank="1" showDropDown="1" showInputMessage="0" showErrorMessage="1" error="Skor tidak boleh melebihi skor maksimum!" sqref="Q374">
      <formula1>P374</formula1>
    </dataValidation>
    <dataValidation type="decimal" errorStyle="stop" operator="lessThanOrEqual" allowBlank="1" showDropDown="1" showInputMessage="0" showErrorMessage="1" error="Skor tidak boleh melebihi skor maksimum!" sqref="E375">
      <formula1>D375</formula1>
    </dataValidation>
    <dataValidation type="decimal" errorStyle="stop" operator="lessThanOrEqual" allowBlank="1" showDropDown="1" showInputMessage="0" showErrorMessage="1" error="Skor tidak boleh melebihi skor maksimum!" sqref="H375">
      <formula1>G375</formula1>
    </dataValidation>
    <dataValidation type="decimal" errorStyle="stop" operator="lessThanOrEqual" allowBlank="1" showDropDown="1" showInputMessage="0" showErrorMessage="1" error="Skor tidak boleh melebihi skor maksimum!" sqref="K375">
      <formula1>J375</formula1>
    </dataValidation>
    <dataValidation type="decimal" errorStyle="stop" operator="lessThanOrEqual" allowBlank="1" showDropDown="1" showInputMessage="0" showErrorMessage="1" error="Skor tidak boleh melebihi skor maksimum!" sqref="N375">
      <formula1>M375</formula1>
    </dataValidation>
    <dataValidation type="decimal" errorStyle="stop" operator="lessThanOrEqual" allowBlank="1" showDropDown="1" showInputMessage="0" showErrorMessage="1" error="Skor tidak boleh melebihi skor maksimum!" sqref="Q375">
      <formula1>P375</formula1>
    </dataValidation>
    <dataValidation type="decimal" errorStyle="stop" operator="lessThanOrEqual" allowBlank="1" showDropDown="1" showInputMessage="0" showErrorMessage="1" error="Skor tidak boleh melebihi skor maksimum!" sqref="E376">
      <formula1>D376</formula1>
    </dataValidation>
    <dataValidation type="decimal" errorStyle="stop" operator="lessThanOrEqual" allowBlank="1" showDropDown="1" showInputMessage="0" showErrorMessage="1" error="Skor tidak boleh melebihi skor maksimum!" sqref="H376">
      <formula1>G376</formula1>
    </dataValidation>
    <dataValidation type="decimal" errorStyle="stop" operator="lessThanOrEqual" allowBlank="1" showDropDown="1" showInputMessage="0" showErrorMessage="1" error="Skor tidak boleh melebihi skor maksimum!" sqref="K376">
      <formula1>J376</formula1>
    </dataValidation>
    <dataValidation type="decimal" errorStyle="stop" operator="lessThanOrEqual" allowBlank="1" showDropDown="1" showInputMessage="0" showErrorMessage="1" error="Skor tidak boleh melebihi skor maksimum!" sqref="N376">
      <formula1>M376</formula1>
    </dataValidation>
    <dataValidation type="decimal" errorStyle="stop" operator="lessThanOrEqual" allowBlank="1" showDropDown="1" showInputMessage="0" showErrorMessage="1" error="Skor tidak boleh melebihi skor maksimum!" sqref="Q376">
      <formula1>P376</formula1>
    </dataValidation>
    <dataValidation type="decimal" errorStyle="stop" operator="lessThanOrEqual" allowBlank="1" showDropDown="1" showInputMessage="0" showErrorMessage="1" error="Skor tidak boleh melebihi skor maksimum!" sqref="E377">
      <formula1>D377</formula1>
    </dataValidation>
    <dataValidation type="decimal" errorStyle="stop" operator="lessThanOrEqual" allowBlank="1" showDropDown="1" showInputMessage="0" showErrorMessage="1" error="Skor tidak boleh melebihi skor maksimum!" sqref="H377">
      <formula1>G377</formula1>
    </dataValidation>
    <dataValidation type="decimal" errorStyle="stop" operator="lessThanOrEqual" allowBlank="1" showDropDown="1" showInputMessage="0" showErrorMessage="1" error="Skor tidak boleh melebihi skor maksimum!" sqref="K377">
      <formula1>J377</formula1>
    </dataValidation>
    <dataValidation type="decimal" errorStyle="stop" operator="lessThanOrEqual" allowBlank="1" showDropDown="1" showInputMessage="0" showErrorMessage="1" error="Skor tidak boleh melebihi skor maksimum!" sqref="N377">
      <formula1>M377</formula1>
    </dataValidation>
    <dataValidation type="decimal" errorStyle="stop" operator="lessThanOrEqual" allowBlank="1" showDropDown="1" showInputMessage="0" showErrorMessage="1" error="Skor tidak boleh melebihi skor maksimum!" sqref="Q377">
      <formula1>P377</formula1>
    </dataValidation>
    <dataValidation type="decimal" errorStyle="stop" operator="lessThanOrEqual" allowBlank="1" showDropDown="1" showInputMessage="0" showErrorMessage="1" error="Skor tidak boleh melebihi skor maksimum!" sqref="E378">
      <formula1>D378</formula1>
    </dataValidation>
    <dataValidation type="decimal" errorStyle="stop" operator="lessThanOrEqual" allowBlank="1" showDropDown="1" showInputMessage="0" showErrorMessage="1" error="Skor tidak boleh melebihi skor maksimum!" sqref="H378">
      <formula1>G378</formula1>
    </dataValidation>
    <dataValidation type="decimal" errorStyle="stop" operator="lessThanOrEqual" allowBlank="1" showDropDown="1" showInputMessage="0" showErrorMessage="1" error="Skor tidak boleh melebihi skor maksimum!" sqref="K378">
      <formula1>J378</formula1>
    </dataValidation>
    <dataValidation type="decimal" errorStyle="stop" operator="lessThanOrEqual" allowBlank="1" showDropDown="1" showInputMessage="0" showErrorMessage="1" error="Skor tidak boleh melebihi skor maksimum!" sqref="N378">
      <formula1>M378</formula1>
    </dataValidation>
    <dataValidation type="decimal" errorStyle="stop" operator="lessThanOrEqual" allowBlank="1" showDropDown="1" showInputMessage="0" showErrorMessage="1" error="Skor tidak boleh melebihi skor maksimum!" sqref="Q378">
      <formula1>P378</formula1>
    </dataValidation>
    <dataValidation type="decimal" errorStyle="stop" operator="lessThanOrEqual" allowBlank="1" showDropDown="1" showInputMessage="0" showErrorMessage="1" error="Skor tidak boleh melebihi skor maksimum!" sqref="E379">
      <formula1>D379</formula1>
    </dataValidation>
    <dataValidation type="decimal" errorStyle="stop" operator="lessThanOrEqual" allowBlank="1" showDropDown="1" showInputMessage="0" showErrorMessage="1" error="Skor tidak boleh melebihi skor maksimum!" sqref="H379">
      <formula1>G379</formula1>
    </dataValidation>
    <dataValidation type="decimal" errorStyle="stop" operator="lessThanOrEqual" allowBlank="1" showDropDown="1" showInputMessage="0" showErrorMessage="1" error="Skor tidak boleh melebihi skor maksimum!" sqref="K379">
      <formula1>J379</formula1>
    </dataValidation>
    <dataValidation type="decimal" errorStyle="stop" operator="lessThanOrEqual" allowBlank="1" showDropDown="1" showInputMessage="0" showErrorMessage="1" error="Skor tidak boleh melebihi skor maksimum!" sqref="N379">
      <formula1>M379</formula1>
    </dataValidation>
    <dataValidation type="decimal" errorStyle="stop" operator="lessThanOrEqual" allowBlank="1" showDropDown="1" showInputMessage="0" showErrorMessage="1" error="Skor tidak boleh melebihi skor maksimum!" sqref="Q379">
      <formula1>P379</formula1>
    </dataValidation>
    <dataValidation type="decimal" errorStyle="stop" operator="lessThanOrEqual" allowBlank="1" showDropDown="1" showInputMessage="0" showErrorMessage="1" error="Skor tidak boleh melebihi skor maksimum!" sqref="E380">
      <formula1>D380</formula1>
    </dataValidation>
    <dataValidation type="decimal" errorStyle="stop" operator="lessThanOrEqual" allowBlank="1" showDropDown="1" showInputMessage="0" showErrorMessage="1" error="Skor tidak boleh melebihi skor maksimum!" sqref="H380">
      <formula1>G380</formula1>
    </dataValidation>
    <dataValidation type="decimal" errorStyle="stop" operator="lessThanOrEqual" allowBlank="1" showDropDown="1" showInputMessage="0" showErrorMessage="1" error="Skor tidak boleh melebihi skor maksimum!" sqref="K380">
      <formula1>J380</formula1>
    </dataValidation>
    <dataValidation type="decimal" errorStyle="stop" operator="lessThanOrEqual" allowBlank="1" showDropDown="1" showInputMessage="0" showErrorMessage="1" error="Skor tidak boleh melebihi skor maksimum!" sqref="N380">
      <formula1>M380</formula1>
    </dataValidation>
    <dataValidation type="decimal" errorStyle="stop" operator="lessThanOrEqual" allowBlank="1" showDropDown="1" showInputMessage="0" showErrorMessage="1" error="Skor tidak boleh melebihi skor maksimum!" sqref="Q380">
      <formula1>P380</formula1>
    </dataValidation>
    <dataValidation type="decimal" errorStyle="stop" operator="lessThanOrEqual" allowBlank="1" showDropDown="1" showInputMessage="0" showErrorMessage="1" error="Skor tidak boleh melebihi skor maksimum!" sqref="E381">
      <formula1>D381</formula1>
    </dataValidation>
    <dataValidation type="decimal" errorStyle="stop" operator="lessThanOrEqual" allowBlank="1" showDropDown="1" showInputMessage="0" showErrorMessage="1" error="Skor tidak boleh melebihi skor maksimum!" sqref="H381">
      <formula1>G381</formula1>
    </dataValidation>
    <dataValidation type="decimal" errorStyle="stop" operator="lessThanOrEqual" allowBlank="1" showDropDown="1" showInputMessage="0" showErrorMessage="1" error="Skor tidak boleh melebihi skor maksimum!" sqref="K381">
      <formula1>J381</formula1>
    </dataValidation>
    <dataValidation type="decimal" errorStyle="stop" operator="lessThanOrEqual" allowBlank="1" showDropDown="1" showInputMessage="0" showErrorMessage="1" error="Skor tidak boleh melebihi skor maksimum!" sqref="N381">
      <formula1>M381</formula1>
    </dataValidation>
    <dataValidation type="decimal" errorStyle="stop" operator="lessThanOrEqual" allowBlank="1" showDropDown="1" showInputMessage="0" showErrorMessage="1" error="Skor tidak boleh melebihi skor maksimum!" sqref="Q381">
      <formula1>P381</formula1>
    </dataValidation>
    <dataValidation type="decimal" errorStyle="stop" operator="lessThanOrEqual" allowBlank="1" showDropDown="1" showInputMessage="0" showErrorMessage="1" error="Skor tidak boleh melebihi skor maksimum!" sqref="E382">
      <formula1>D382</formula1>
    </dataValidation>
    <dataValidation type="decimal" errorStyle="stop" operator="lessThanOrEqual" allowBlank="1" showDropDown="1" showInputMessage="0" showErrorMessage="1" error="Skor tidak boleh melebihi skor maksimum!" sqref="H382">
      <formula1>G382</formula1>
    </dataValidation>
    <dataValidation type="decimal" errorStyle="stop" operator="lessThanOrEqual" allowBlank="1" showDropDown="1" showInputMessage="0" showErrorMessage="1" error="Skor tidak boleh melebihi skor maksimum!" sqref="K382">
      <formula1>J382</formula1>
    </dataValidation>
    <dataValidation type="decimal" errorStyle="stop" operator="lessThanOrEqual" allowBlank="1" showDropDown="1" showInputMessage="0" showErrorMessage="1" error="Skor tidak boleh melebihi skor maksimum!" sqref="N382">
      <formula1>M382</formula1>
    </dataValidation>
    <dataValidation type="decimal" errorStyle="stop" operator="lessThanOrEqual" allowBlank="1" showDropDown="1" showInputMessage="0" showErrorMessage="1" error="Skor tidak boleh melebihi skor maksimum!" sqref="Q382">
      <formula1>P382</formula1>
    </dataValidation>
    <dataValidation type="decimal" errorStyle="stop" operator="lessThanOrEqual" allowBlank="1" showDropDown="1" showInputMessage="0" showErrorMessage="1" error="Skor tidak boleh melebihi skor maksimum!" sqref="E383">
      <formula1>D383</formula1>
    </dataValidation>
    <dataValidation type="decimal" errorStyle="stop" operator="lessThanOrEqual" allowBlank="1" showDropDown="1" showInputMessage="0" showErrorMessage="1" error="Skor tidak boleh melebihi skor maksimum!" sqref="H383">
      <formula1>G383</formula1>
    </dataValidation>
    <dataValidation type="decimal" errorStyle="stop" operator="lessThanOrEqual" allowBlank="1" showDropDown="1" showInputMessage="0" showErrorMessage="1" error="Skor tidak boleh melebihi skor maksimum!" sqref="K383">
      <formula1>J383</formula1>
    </dataValidation>
    <dataValidation type="decimal" errorStyle="stop" operator="lessThanOrEqual" allowBlank="1" showDropDown="1" showInputMessage="0" showErrorMessage="1" error="Skor tidak boleh melebihi skor maksimum!" sqref="N383">
      <formula1>M383</formula1>
    </dataValidation>
    <dataValidation type="decimal" errorStyle="stop" operator="lessThanOrEqual" allowBlank="1" showDropDown="1" showInputMessage="0" showErrorMessage="1" error="Skor tidak boleh melebihi skor maksimum!" sqref="Q383">
      <formula1>P383</formula1>
    </dataValidation>
    <dataValidation type="decimal" errorStyle="stop" operator="lessThanOrEqual" allowBlank="1" showDropDown="1" showInputMessage="0" showErrorMessage="1" error="Skor tidak boleh melebihi skor maksimum!" sqref="E384">
      <formula1>D384</formula1>
    </dataValidation>
    <dataValidation type="decimal" errorStyle="stop" operator="lessThanOrEqual" allowBlank="1" showDropDown="1" showInputMessage="0" showErrorMessage="1" error="Skor tidak boleh melebihi skor maksimum!" sqref="H384">
      <formula1>G384</formula1>
    </dataValidation>
    <dataValidation type="decimal" errorStyle="stop" operator="lessThanOrEqual" allowBlank="1" showDropDown="1" showInputMessage="0" showErrorMessage="1" error="Skor tidak boleh melebihi skor maksimum!" sqref="K384">
      <formula1>J384</formula1>
    </dataValidation>
    <dataValidation type="decimal" errorStyle="stop" operator="lessThanOrEqual" allowBlank="1" showDropDown="1" showInputMessage="0" showErrorMessage="1" error="Skor tidak boleh melebihi skor maksimum!" sqref="N384">
      <formula1>M384</formula1>
    </dataValidation>
    <dataValidation type="decimal" errorStyle="stop" operator="lessThanOrEqual" allowBlank="1" showDropDown="1" showInputMessage="0" showErrorMessage="1" error="Skor tidak boleh melebihi skor maksimum!" sqref="Q384">
      <formula1>P384</formula1>
    </dataValidation>
    <dataValidation type="decimal" errorStyle="stop" operator="lessThanOrEqual" allowBlank="1" showDropDown="1" showInputMessage="0" showErrorMessage="1" error="Skor tidak boleh melebihi skor maksimum!" sqref="E385">
      <formula1>D385</formula1>
    </dataValidation>
    <dataValidation type="decimal" errorStyle="stop" operator="lessThanOrEqual" allowBlank="1" showDropDown="1" showInputMessage="0" showErrorMessage="1" error="Skor tidak boleh melebihi skor maksimum!" sqref="H385">
      <formula1>G385</formula1>
    </dataValidation>
    <dataValidation type="decimal" errorStyle="stop" operator="lessThanOrEqual" allowBlank="1" showDropDown="1" showInputMessage="0" showErrorMessage="1" error="Skor tidak boleh melebihi skor maksimum!" sqref="K385">
      <formula1>J385</formula1>
    </dataValidation>
    <dataValidation type="decimal" errorStyle="stop" operator="lessThanOrEqual" allowBlank="1" showDropDown="1" showInputMessage="0" showErrorMessage="1" error="Skor tidak boleh melebihi skor maksimum!" sqref="N385">
      <formula1>M385</formula1>
    </dataValidation>
    <dataValidation type="decimal" errorStyle="stop" operator="lessThanOrEqual" allowBlank="1" showDropDown="1" showInputMessage="0" showErrorMessage="1" error="Skor tidak boleh melebihi skor maksimum!" sqref="Q385">
      <formula1>P385</formula1>
    </dataValidation>
    <dataValidation type="decimal" errorStyle="stop" operator="lessThanOrEqual" allowBlank="1" showDropDown="1" showInputMessage="0" showErrorMessage="1" error="Skor tidak boleh melebihi skor maksimum!" sqref="E386">
      <formula1>D386</formula1>
    </dataValidation>
    <dataValidation type="decimal" errorStyle="stop" operator="lessThanOrEqual" allowBlank="1" showDropDown="1" showInputMessage="0" showErrorMessage="1" error="Skor tidak boleh melebihi skor maksimum!" sqref="H386">
      <formula1>G386</formula1>
    </dataValidation>
    <dataValidation type="decimal" errorStyle="stop" operator="lessThanOrEqual" allowBlank="1" showDropDown="1" showInputMessage="0" showErrorMessage="1" error="Skor tidak boleh melebihi skor maksimum!" sqref="K386">
      <formula1>J386</formula1>
    </dataValidation>
    <dataValidation type="decimal" errorStyle="stop" operator="lessThanOrEqual" allowBlank="1" showDropDown="1" showInputMessage="0" showErrorMessage="1" error="Skor tidak boleh melebihi skor maksimum!" sqref="N386">
      <formula1>M386</formula1>
    </dataValidation>
    <dataValidation type="decimal" errorStyle="stop" operator="lessThanOrEqual" allowBlank="1" showDropDown="1" showInputMessage="0" showErrorMessage="1" error="Skor tidak boleh melebihi skor maksimum!" sqref="Q386">
      <formula1>P386</formula1>
    </dataValidation>
    <dataValidation type="decimal" errorStyle="stop" operator="lessThanOrEqual" allowBlank="1" showDropDown="1" showInputMessage="0" showErrorMessage="1" error="Skor tidak boleh melebihi skor maksimum!" sqref="E387">
      <formula1>D387</formula1>
    </dataValidation>
    <dataValidation type="decimal" errorStyle="stop" operator="lessThanOrEqual" allowBlank="1" showDropDown="1" showInputMessage="0" showErrorMessage="1" error="Skor tidak boleh melebihi skor maksimum!" sqref="H387">
      <formula1>G387</formula1>
    </dataValidation>
    <dataValidation type="decimal" errorStyle="stop" operator="lessThanOrEqual" allowBlank="1" showDropDown="1" showInputMessage="0" showErrorMessage="1" error="Skor tidak boleh melebihi skor maksimum!" sqref="K387">
      <formula1>J387</formula1>
    </dataValidation>
    <dataValidation type="decimal" errorStyle="stop" operator="lessThanOrEqual" allowBlank="1" showDropDown="1" showInputMessage="0" showErrorMessage="1" error="Skor tidak boleh melebihi skor maksimum!" sqref="N387">
      <formula1>M387</formula1>
    </dataValidation>
    <dataValidation type="decimal" errorStyle="stop" operator="lessThanOrEqual" allowBlank="1" showDropDown="1" showInputMessage="0" showErrorMessage="1" error="Skor tidak boleh melebihi skor maksimum!" sqref="Q387">
      <formula1>P387</formula1>
    </dataValidation>
    <dataValidation type="decimal" errorStyle="stop" operator="lessThanOrEqual" allowBlank="1" showDropDown="1" showInputMessage="0" showErrorMessage="1" error="Skor tidak boleh melebihi skor maksimum!" sqref="E388">
      <formula1>D388</formula1>
    </dataValidation>
    <dataValidation type="decimal" errorStyle="stop" operator="lessThanOrEqual" allowBlank="1" showDropDown="1" showInputMessage="0" showErrorMessage="1" error="Skor tidak boleh melebihi skor maksimum!" sqref="H388">
      <formula1>G388</formula1>
    </dataValidation>
    <dataValidation type="decimal" errorStyle="stop" operator="lessThanOrEqual" allowBlank="1" showDropDown="1" showInputMessage="0" showErrorMessage="1" error="Skor tidak boleh melebihi skor maksimum!" sqref="K388">
      <formula1>J388</formula1>
    </dataValidation>
    <dataValidation type="decimal" errorStyle="stop" operator="lessThanOrEqual" allowBlank="1" showDropDown="1" showInputMessage="0" showErrorMessage="1" error="Skor tidak boleh melebihi skor maksimum!" sqref="N388">
      <formula1>M388</formula1>
    </dataValidation>
    <dataValidation type="decimal" errorStyle="stop" operator="lessThanOrEqual" allowBlank="1" showDropDown="1" showInputMessage="0" showErrorMessage="1" error="Skor tidak boleh melebihi skor maksimum!" sqref="Q388">
      <formula1>P388</formula1>
    </dataValidation>
    <dataValidation type="decimal" errorStyle="stop" operator="lessThanOrEqual" allowBlank="1" showDropDown="1" showInputMessage="0" showErrorMessage="1" error="Skor tidak boleh melebihi skor maksimum!" sqref="E389">
      <formula1>D389</formula1>
    </dataValidation>
    <dataValidation type="decimal" errorStyle="stop" operator="lessThanOrEqual" allowBlank="1" showDropDown="1" showInputMessage="0" showErrorMessage="1" error="Skor tidak boleh melebihi skor maksimum!" sqref="H389">
      <formula1>G389</formula1>
    </dataValidation>
    <dataValidation type="decimal" errorStyle="stop" operator="lessThanOrEqual" allowBlank="1" showDropDown="1" showInputMessage="0" showErrorMessage="1" error="Skor tidak boleh melebihi skor maksimum!" sqref="K389">
      <formula1>J389</formula1>
    </dataValidation>
    <dataValidation type="decimal" errorStyle="stop" operator="lessThanOrEqual" allowBlank="1" showDropDown="1" showInputMessage="0" showErrorMessage="1" error="Skor tidak boleh melebihi skor maksimum!" sqref="N389">
      <formula1>M389</formula1>
    </dataValidation>
    <dataValidation type="decimal" errorStyle="stop" operator="lessThanOrEqual" allowBlank="1" showDropDown="1" showInputMessage="0" showErrorMessage="1" error="Skor tidak boleh melebihi skor maksimum!" sqref="Q389">
      <formula1>P389</formula1>
    </dataValidation>
    <dataValidation type="decimal" errorStyle="stop" operator="lessThanOrEqual" allowBlank="1" showDropDown="1" showInputMessage="0" showErrorMessage="1" error="Skor tidak boleh melebihi skor maksimum!" sqref="E390">
      <formula1>D390</formula1>
    </dataValidation>
    <dataValidation type="decimal" errorStyle="stop" operator="lessThanOrEqual" allowBlank="1" showDropDown="1" showInputMessage="0" showErrorMessage="1" error="Skor tidak boleh melebihi skor maksimum!" sqref="H390">
      <formula1>G390</formula1>
    </dataValidation>
    <dataValidation type="decimal" errorStyle="stop" operator="lessThanOrEqual" allowBlank="1" showDropDown="1" showInputMessage="0" showErrorMessage="1" error="Skor tidak boleh melebihi skor maksimum!" sqref="K390">
      <formula1>J390</formula1>
    </dataValidation>
    <dataValidation type="decimal" errorStyle="stop" operator="lessThanOrEqual" allowBlank="1" showDropDown="1" showInputMessage="0" showErrorMessage="1" error="Skor tidak boleh melebihi skor maksimum!" sqref="N390">
      <formula1>M390</formula1>
    </dataValidation>
    <dataValidation type="decimal" errorStyle="stop" operator="lessThanOrEqual" allowBlank="1" showDropDown="1" showInputMessage="0" showErrorMessage="1" error="Skor tidak boleh melebihi skor maksimum!" sqref="Q390">
      <formula1>P390</formula1>
    </dataValidation>
    <dataValidation type="decimal" errorStyle="stop" operator="lessThanOrEqual" allowBlank="1" showDropDown="1" showInputMessage="0" showErrorMessage="1" error="Skor tidak boleh melebihi skor maksimum!" sqref="E391">
      <formula1>D391</formula1>
    </dataValidation>
    <dataValidation type="decimal" errorStyle="stop" operator="lessThanOrEqual" allowBlank="1" showDropDown="1" showInputMessage="0" showErrorMessage="1" error="Skor tidak boleh melebihi skor maksimum!" sqref="H391">
      <formula1>G391</formula1>
    </dataValidation>
    <dataValidation type="decimal" errorStyle="stop" operator="lessThanOrEqual" allowBlank="1" showDropDown="1" showInputMessage="0" showErrorMessage="1" error="Skor tidak boleh melebihi skor maksimum!" sqref="K391">
      <formula1>J391</formula1>
    </dataValidation>
    <dataValidation type="decimal" errorStyle="stop" operator="lessThanOrEqual" allowBlank="1" showDropDown="1" showInputMessage="0" showErrorMessage="1" error="Skor tidak boleh melebihi skor maksimum!" sqref="N391">
      <formula1>M391</formula1>
    </dataValidation>
    <dataValidation type="decimal" errorStyle="stop" operator="lessThanOrEqual" allowBlank="1" showDropDown="1" showInputMessage="0" showErrorMessage="1" error="Skor tidak boleh melebihi skor maksimum!" sqref="Q391">
      <formula1>P391</formula1>
    </dataValidation>
    <dataValidation type="decimal" errorStyle="stop" operator="lessThanOrEqual" allowBlank="1" showDropDown="1" showInputMessage="0" showErrorMessage="1" error="Skor tidak boleh melebihi skor maksimum!" sqref="E392">
      <formula1>D392</formula1>
    </dataValidation>
    <dataValidation type="decimal" errorStyle="stop" operator="lessThanOrEqual" allowBlank="1" showDropDown="1" showInputMessage="0" showErrorMessage="1" error="Skor tidak boleh melebihi skor maksimum!" sqref="H392">
      <formula1>G392</formula1>
    </dataValidation>
    <dataValidation type="decimal" errorStyle="stop" operator="lessThanOrEqual" allowBlank="1" showDropDown="1" showInputMessage="0" showErrorMessage="1" error="Skor tidak boleh melebihi skor maksimum!" sqref="K392">
      <formula1>J392</formula1>
    </dataValidation>
    <dataValidation type="decimal" errorStyle="stop" operator="lessThanOrEqual" allowBlank="1" showDropDown="1" showInputMessage="0" showErrorMessage="1" error="Skor tidak boleh melebihi skor maksimum!" sqref="N392">
      <formula1>M392</formula1>
    </dataValidation>
    <dataValidation type="decimal" errorStyle="stop" operator="lessThanOrEqual" allowBlank="1" showDropDown="1" showInputMessage="0" showErrorMessage="1" error="Skor tidak boleh melebihi skor maksimum!" sqref="Q392">
      <formula1>P392</formula1>
    </dataValidation>
    <dataValidation type="decimal" errorStyle="stop" operator="lessThanOrEqual" allowBlank="1" showDropDown="1" showInputMessage="0" showErrorMessage="1" error="Skor tidak boleh melebihi skor maksimum!" sqref="E393">
      <formula1>D393</formula1>
    </dataValidation>
    <dataValidation type="decimal" errorStyle="stop" operator="lessThanOrEqual" allowBlank="1" showDropDown="1" showInputMessage="0" showErrorMessage="1" error="Skor tidak boleh melebihi skor maksimum!" sqref="H393">
      <formula1>G393</formula1>
    </dataValidation>
    <dataValidation type="decimal" errorStyle="stop" operator="lessThanOrEqual" allowBlank="1" showDropDown="1" showInputMessage="0" showErrorMessage="1" error="Skor tidak boleh melebihi skor maksimum!" sqref="K393">
      <formula1>J393</formula1>
    </dataValidation>
    <dataValidation type="decimal" errorStyle="stop" operator="lessThanOrEqual" allowBlank="1" showDropDown="1" showInputMessage="0" showErrorMessage="1" error="Skor tidak boleh melebihi skor maksimum!" sqref="N393">
      <formula1>M393</formula1>
    </dataValidation>
    <dataValidation type="decimal" errorStyle="stop" operator="lessThanOrEqual" allowBlank="1" showDropDown="1" showInputMessage="0" showErrorMessage="1" error="Skor tidak boleh melebihi skor maksimum!" sqref="Q393">
      <formula1>P393</formula1>
    </dataValidation>
    <dataValidation type="decimal" errorStyle="stop" operator="lessThanOrEqual" allowBlank="1" showDropDown="1" showInputMessage="0" showErrorMessage="1" error="Skor tidak boleh melebihi skor maksimum!" sqref="E394">
      <formula1>D394</formula1>
    </dataValidation>
    <dataValidation type="decimal" errorStyle="stop" operator="lessThanOrEqual" allowBlank="1" showDropDown="1" showInputMessage="0" showErrorMessage="1" error="Skor tidak boleh melebihi skor maksimum!" sqref="H394">
      <formula1>G394</formula1>
    </dataValidation>
    <dataValidation type="decimal" errorStyle="stop" operator="lessThanOrEqual" allowBlank="1" showDropDown="1" showInputMessage="0" showErrorMessage="1" error="Skor tidak boleh melebihi skor maksimum!" sqref="K394">
      <formula1>J394</formula1>
    </dataValidation>
    <dataValidation type="decimal" errorStyle="stop" operator="lessThanOrEqual" allowBlank="1" showDropDown="1" showInputMessage="0" showErrorMessage="1" error="Skor tidak boleh melebihi skor maksimum!" sqref="N394">
      <formula1>M394</formula1>
    </dataValidation>
    <dataValidation type="decimal" errorStyle="stop" operator="lessThanOrEqual" allowBlank="1" showDropDown="1" showInputMessage="0" showErrorMessage="1" error="Skor tidak boleh melebihi skor maksimum!" sqref="Q394">
      <formula1>P394</formula1>
    </dataValidation>
    <dataValidation type="decimal" errorStyle="stop" operator="lessThanOrEqual" allowBlank="1" showDropDown="1" showInputMessage="0" showErrorMessage="1" error="Skor tidak boleh melebihi skor maksimum!" sqref="E395">
      <formula1>D395</formula1>
    </dataValidation>
    <dataValidation type="decimal" errorStyle="stop" operator="lessThanOrEqual" allowBlank="1" showDropDown="1" showInputMessage="0" showErrorMessage="1" error="Skor tidak boleh melebihi skor maksimum!" sqref="H395">
      <formula1>G395</formula1>
    </dataValidation>
    <dataValidation type="decimal" errorStyle="stop" operator="lessThanOrEqual" allowBlank="1" showDropDown="1" showInputMessage="0" showErrorMessage="1" error="Skor tidak boleh melebihi skor maksimum!" sqref="K395">
      <formula1>J395</formula1>
    </dataValidation>
    <dataValidation type="decimal" errorStyle="stop" operator="lessThanOrEqual" allowBlank="1" showDropDown="1" showInputMessage="0" showErrorMessage="1" error="Skor tidak boleh melebihi skor maksimum!" sqref="N395">
      <formula1>M395</formula1>
    </dataValidation>
    <dataValidation type="decimal" errorStyle="stop" operator="lessThanOrEqual" allowBlank="1" showDropDown="1" showInputMessage="0" showErrorMessage="1" error="Skor tidak boleh melebihi skor maksimum!" sqref="Q395">
      <formula1>P395</formula1>
    </dataValidation>
    <dataValidation type="decimal" errorStyle="stop" operator="lessThanOrEqual" allowBlank="1" showDropDown="1" showInputMessage="0" showErrorMessage="1" error="Skor tidak boleh melebihi skor maksimum!" sqref="E396">
      <formula1>D396</formula1>
    </dataValidation>
    <dataValidation type="decimal" errorStyle="stop" operator="lessThanOrEqual" allowBlank="1" showDropDown="1" showInputMessage="0" showErrorMessage="1" error="Skor tidak boleh melebihi skor maksimum!" sqref="H396">
      <formula1>G396</formula1>
    </dataValidation>
    <dataValidation type="decimal" errorStyle="stop" operator="lessThanOrEqual" allowBlank="1" showDropDown="1" showInputMessage="0" showErrorMessage="1" error="Skor tidak boleh melebihi skor maksimum!" sqref="K396">
      <formula1>J396</formula1>
    </dataValidation>
    <dataValidation type="decimal" errorStyle="stop" operator="lessThanOrEqual" allowBlank="1" showDropDown="1" showInputMessage="0" showErrorMessage="1" error="Skor tidak boleh melebihi skor maksimum!" sqref="N396">
      <formula1>M396</formula1>
    </dataValidation>
    <dataValidation type="decimal" errorStyle="stop" operator="lessThanOrEqual" allowBlank="1" showDropDown="1" showInputMessage="0" showErrorMessage="1" error="Skor tidak boleh melebihi skor maksimum!" sqref="Q396">
      <formula1>P396</formula1>
    </dataValidation>
    <dataValidation type="decimal" errorStyle="stop" operator="lessThanOrEqual" allowBlank="1" showDropDown="1" showInputMessage="0" showErrorMessage="1" error="Skor tidak boleh melebihi skor maksimum!" sqref="E397">
      <formula1>D397</formula1>
    </dataValidation>
    <dataValidation type="decimal" errorStyle="stop" operator="lessThanOrEqual" allowBlank="1" showDropDown="1" showInputMessage="0" showErrorMessage="1" error="Skor tidak boleh melebihi skor maksimum!" sqref="H397">
      <formula1>G397</formula1>
    </dataValidation>
    <dataValidation type="decimal" errorStyle="stop" operator="lessThanOrEqual" allowBlank="1" showDropDown="1" showInputMessage="0" showErrorMessage="1" error="Skor tidak boleh melebihi skor maksimum!" sqref="K397">
      <formula1>J397</formula1>
    </dataValidation>
    <dataValidation type="decimal" errorStyle="stop" operator="lessThanOrEqual" allowBlank="1" showDropDown="1" showInputMessage="0" showErrorMessage="1" error="Skor tidak boleh melebihi skor maksimum!" sqref="N397">
      <formula1>M397</formula1>
    </dataValidation>
    <dataValidation type="decimal" errorStyle="stop" operator="lessThanOrEqual" allowBlank="1" showDropDown="1" showInputMessage="0" showErrorMessage="1" error="Skor tidak boleh melebihi skor maksimum!" sqref="Q397">
      <formula1>P397</formula1>
    </dataValidation>
    <dataValidation type="decimal" errorStyle="stop" operator="lessThanOrEqual" allowBlank="1" showDropDown="1" showInputMessage="0" showErrorMessage="1" error="Skor tidak boleh melebihi skor maksimum!" sqref="E398">
      <formula1>D398</formula1>
    </dataValidation>
    <dataValidation type="decimal" errorStyle="stop" operator="lessThanOrEqual" allowBlank="1" showDropDown="1" showInputMessage="0" showErrorMessage="1" error="Skor tidak boleh melebihi skor maksimum!" sqref="H398">
      <formula1>G398</formula1>
    </dataValidation>
    <dataValidation type="decimal" errorStyle="stop" operator="lessThanOrEqual" allowBlank="1" showDropDown="1" showInputMessage="0" showErrorMessage="1" error="Skor tidak boleh melebihi skor maksimum!" sqref="K398">
      <formula1>J398</formula1>
    </dataValidation>
    <dataValidation type="decimal" errorStyle="stop" operator="lessThanOrEqual" allowBlank="1" showDropDown="1" showInputMessage="0" showErrorMessage="1" error="Skor tidak boleh melebihi skor maksimum!" sqref="N398">
      <formula1>M398</formula1>
    </dataValidation>
    <dataValidation type="decimal" errorStyle="stop" operator="lessThanOrEqual" allowBlank="1" showDropDown="1" showInputMessage="0" showErrorMessage="1" error="Skor tidak boleh melebihi skor maksimum!" sqref="Q398">
      <formula1>P398</formula1>
    </dataValidation>
    <dataValidation type="decimal" errorStyle="stop" operator="lessThanOrEqual" allowBlank="1" showDropDown="1" showInputMessage="0" showErrorMessage="1" error="Skor tidak boleh melebihi skor maksimum!" sqref="E399">
      <formula1>D399</formula1>
    </dataValidation>
    <dataValidation type="decimal" errorStyle="stop" operator="lessThanOrEqual" allowBlank="1" showDropDown="1" showInputMessage="0" showErrorMessage="1" error="Skor tidak boleh melebihi skor maksimum!" sqref="H399">
      <formula1>G399</formula1>
    </dataValidation>
    <dataValidation type="decimal" errorStyle="stop" operator="lessThanOrEqual" allowBlank="1" showDropDown="1" showInputMessage="0" showErrorMessage="1" error="Skor tidak boleh melebihi skor maksimum!" sqref="K399">
      <formula1>J399</formula1>
    </dataValidation>
    <dataValidation type="decimal" errorStyle="stop" operator="lessThanOrEqual" allowBlank="1" showDropDown="1" showInputMessage="0" showErrorMessage="1" error="Skor tidak boleh melebihi skor maksimum!" sqref="N399">
      <formula1>M399</formula1>
    </dataValidation>
    <dataValidation type="decimal" errorStyle="stop" operator="lessThanOrEqual" allowBlank="1" showDropDown="1" showInputMessage="0" showErrorMessage="1" error="Skor tidak boleh melebihi skor maksimum!" sqref="Q399">
      <formula1>P399</formula1>
    </dataValidation>
    <dataValidation type="decimal" errorStyle="stop" operator="lessThanOrEqual" allowBlank="1" showDropDown="1" showInputMessage="0" showErrorMessage="1" error="Skor tidak boleh melebihi skor maksimum!" sqref="E400">
      <formula1>D400</formula1>
    </dataValidation>
    <dataValidation type="decimal" errorStyle="stop" operator="lessThanOrEqual" allowBlank="1" showDropDown="1" showInputMessage="0" showErrorMessage="1" error="Skor tidak boleh melebihi skor maksimum!" sqref="H400">
      <formula1>G400</formula1>
    </dataValidation>
    <dataValidation type="decimal" errorStyle="stop" operator="lessThanOrEqual" allowBlank="1" showDropDown="1" showInputMessage="0" showErrorMessage="1" error="Skor tidak boleh melebihi skor maksimum!" sqref="K400">
      <formula1>J400</formula1>
    </dataValidation>
    <dataValidation type="decimal" errorStyle="stop" operator="lessThanOrEqual" allowBlank="1" showDropDown="1" showInputMessage="0" showErrorMessage="1" error="Skor tidak boleh melebihi skor maksimum!" sqref="N400">
      <formula1>M400</formula1>
    </dataValidation>
    <dataValidation type="decimal" errorStyle="stop" operator="lessThanOrEqual" allowBlank="1" showDropDown="1" showInputMessage="0" showErrorMessage="1" error="Skor tidak boleh melebihi skor maksimum!" sqref="Q400">
      <formula1>P400</formula1>
    </dataValidation>
    <dataValidation type="decimal" errorStyle="stop" operator="lessThanOrEqual" allowBlank="1" showDropDown="1" showInputMessage="0" showErrorMessage="1" error="Skor tidak boleh melebihi skor maksimum!" sqref="E401">
      <formula1>D401</formula1>
    </dataValidation>
    <dataValidation type="decimal" errorStyle="stop" operator="lessThanOrEqual" allowBlank="1" showDropDown="1" showInputMessage="0" showErrorMessage="1" error="Skor tidak boleh melebihi skor maksimum!" sqref="H401">
      <formula1>G401</formula1>
    </dataValidation>
    <dataValidation type="decimal" errorStyle="stop" operator="lessThanOrEqual" allowBlank="1" showDropDown="1" showInputMessage="0" showErrorMessage="1" error="Skor tidak boleh melebihi skor maksimum!" sqref="K401">
      <formula1>J401</formula1>
    </dataValidation>
    <dataValidation type="decimal" errorStyle="stop" operator="lessThanOrEqual" allowBlank="1" showDropDown="1" showInputMessage="0" showErrorMessage="1" error="Skor tidak boleh melebihi skor maksimum!" sqref="N401">
      <formula1>M401</formula1>
    </dataValidation>
    <dataValidation type="decimal" errorStyle="stop" operator="lessThanOrEqual" allowBlank="1" showDropDown="1" showInputMessage="0" showErrorMessage="1" error="Skor tidak boleh melebihi skor maksimum!" sqref="Q401">
      <formula1>P401</formula1>
    </dataValidation>
    <dataValidation type="decimal" errorStyle="stop" operator="lessThanOrEqual" allowBlank="1" showDropDown="1" showInputMessage="0" showErrorMessage="1" error="Skor tidak boleh melebihi skor maksimum!" sqref="E402">
      <formula1>D402</formula1>
    </dataValidation>
    <dataValidation type="decimal" errorStyle="stop" operator="lessThanOrEqual" allowBlank="1" showDropDown="1" showInputMessage="0" showErrorMessage="1" error="Skor tidak boleh melebihi skor maksimum!" sqref="H402">
      <formula1>G402</formula1>
    </dataValidation>
    <dataValidation type="decimal" errorStyle="stop" operator="lessThanOrEqual" allowBlank="1" showDropDown="1" showInputMessage="0" showErrorMessage="1" error="Skor tidak boleh melebihi skor maksimum!" sqref="K402">
      <formula1>J402</formula1>
    </dataValidation>
    <dataValidation type="decimal" errorStyle="stop" operator="lessThanOrEqual" allowBlank="1" showDropDown="1" showInputMessage="0" showErrorMessage="1" error="Skor tidak boleh melebihi skor maksimum!" sqref="N402">
      <formula1>M402</formula1>
    </dataValidation>
    <dataValidation type="decimal" errorStyle="stop" operator="lessThanOrEqual" allowBlank="1" showDropDown="1" showInputMessage="0" showErrorMessage="1" error="Skor tidak boleh melebihi skor maksimum!" sqref="Q402">
      <formula1>P402</formula1>
    </dataValidation>
    <dataValidation type="decimal" errorStyle="stop" operator="lessThanOrEqual" allowBlank="1" showDropDown="1" showInputMessage="0" showErrorMessage="1" error="Skor tidak boleh melebihi skor maksimum!" sqref="E403">
      <formula1>D403</formula1>
    </dataValidation>
    <dataValidation type="decimal" errorStyle="stop" operator="lessThanOrEqual" allowBlank="1" showDropDown="1" showInputMessage="0" showErrorMessage="1" error="Skor tidak boleh melebihi skor maksimum!" sqref="H403">
      <formula1>G403</formula1>
    </dataValidation>
    <dataValidation type="decimal" errorStyle="stop" operator="lessThanOrEqual" allowBlank="1" showDropDown="1" showInputMessage="0" showErrorMessage="1" error="Skor tidak boleh melebihi skor maksimum!" sqref="K403">
      <formula1>J403</formula1>
    </dataValidation>
    <dataValidation type="decimal" errorStyle="stop" operator="lessThanOrEqual" allowBlank="1" showDropDown="1" showInputMessage="0" showErrorMessage="1" error="Skor tidak boleh melebihi skor maksimum!" sqref="N403">
      <formula1>M403</formula1>
    </dataValidation>
    <dataValidation type="decimal" errorStyle="stop" operator="lessThanOrEqual" allowBlank="1" showDropDown="1" showInputMessage="0" showErrorMessage="1" error="Skor tidak boleh melebihi skor maksimum!" sqref="Q403">
      <formula1>P403</formula1>
    </dataValidation>
    <dataValidation type="decimal" errorStyle="stop" operator="lessThanOrEqual" allowBlank="1" showDropDown="1" showInputMessage="0" showErrorMessage="1" error="Skor tidak boleh melebihi skor maksimum!" sqref="E404">
      <formula1>D404</formula1>
    </dataValidation>
    <dataValidation type="decimal" errorStyle="stop" operator="lessThanOrEqual" allowBlank="1" showDropDown="1" showInputMessage="0" showErrorMessage="1" error="Skor tidak boleh melebihi skor maksimum!" sqref="H404">
      <formula1>G404</formula1>
    </dataValidation>
    <dataValidation type="decimal" errorStyle="stop" operator="lessThanOrEqual" allowBlank="1" showDropDown="1" showInputMessage="0" showErrorMessage="1" error="Skor tidak boleh melebihi skor maksimum!" sqref="K404">
      <formula1>J404</formula1>
    </dataValidation>
    <dataValidation type="decimal" errorStyle="stop" operator="lessThanOrEqual" allowBlank="1" showDropDown="1" showInputMessage="0" showErrorMessage="1" error="Skor tidak boleh melebihi skor maksimum!" sqref="N404">
      <formula1>M404</formula1>
    </dataValidation>
    <dataValidation type="decimal" errorStyle="stop" operator="lessThanOrEqual" allowBlank="1" showDropDown="1" showInputMessage="0" showErrorMessage="1" error="Skor tidak boleh melebihi skor maksimum!" sqref="Q404">
      <formula1>P404</formula1>
    </dataValidation>
    <dataValidation type="decimal" errorStyle="stop" operator="lessThanOrEqual" allowBlank="1" showDropDown="1" showInputMessage="0" showErrorMessage="1" error="Skor tidak boleh melebihi skor maksimum!" sqref="E405">
      <formula1>D405</formula1>
    </dataValidation>
    <dataValidation type="decimal" errorStyle="stop" operator="lessThanOrEqual" allowBlank="1" showDropDown="1" showInputMessage="0" showErrorMessage="1" error="Skor tidak boleh melebihi skor maksimum!" sqref="H405">
      <formula1>G405</formula1>
    </dataValidation>
    <dataValidation type="decimal" errorStyle="stop" operator="lessThanOrEqual" allowBlank="1" showDropDown="1" showInputMessage="0" showErrorMessage="1" error="Skor tidak boleh melebihi skor maksimum!" sqref="K405">
      <formula1>J405</formula1>
    </dataValidation>
    <dataValidation type="decimal" errorStyle="stop" operator="lessThanOrEqual" allowBlank="1" showDropDown="1" showInputMessage="0" showErrorMessage="1" error="Skor tidak boleh melebihi skor maksimum!" sqref="N405">
      <formula1>M405</formula1>
    </dataValidation>
    <dataValidation type="decimal" errorStyle="stop" operator="lessThanOrEqual" allowBlank="1" showDropDown="1" showInputMessage="0" showErrorMessage="1" error="Skor tidak boleh melebihi skor maksimum!" sqref="Q405">
      <formula1>P405</formula1>
    </dataValidation>
    <dataValidation type="decimal" errorStyle="stop" operator="lessThanOrEqual" allowBlank="1" showDropDown="1" showInputMessage="0" showErrorMessage="1" error="Skor tidak boleh melebihi skor maksimum!" sqref="E406">
      <formula1>D406</formula1>
    </dataValidation>
    <dataValidation type="decimal" errorStyle="stop" operator="lessThanOrEqual" allowBlank="1" showDropDown="1" showInputMessage="0" showErrorMessage="1" error="Skor tidak boleh melebihi skor maksimum!" sqref="H406">
      <formula1>G406</formula1>
    </dataValidation>
    <dataValidation type="decimal" errorStyle="stop" operator="lessThanOrEqual" allowBlank="1" showDropDown="1" showInputMessage="0" showErrorMessage="1" error="Skor tidak boleh melebihi skor maksimum!" sqref="K406">
      <formula1>J406</formula1>
    </dataValidation>
    <dataValidation type="decimal" errorStyle="stop" operator="lessThanOrEqual" allowBlank="1" showDropDown="1" showInputMessage="0" showErrorMessage="1" error="Skor tidak boleh melebihi skor maksimum!" sqref="N406">
      <formula1>M406</formula1>
    </dataValidation>
    <dataValidation type="decimal" errorStyle="stop" operator="lessThanOrEqual" allowBlank="1" showDropDown="1" showInputMessage="0" showErrorMessage="1" error="Skor tidak boleh melebihi skor maksimum!" sqref="Q406">
      <formula1>P406</formula1>
    </dataValidation>
    <dataValidation type="decimal" errorStyle="stop" operator="lessThanOrEqual" allowBlank="1" showDropDown="1" showInputMessage="0" showErrorMessage="1" error="Skor tidak boleh melebihi skor maksimum!" sqref="E407">
      <formula1>D407</formula1>
    </dataValidation>
    <dataValidation type="decimal" errorStyle="stop" operator="lessThanOrEqual" allowBlank="1" showDropDown="1" showInputMessage="0" showErrorMessage="1" error="Skor tidak boleh melebihi skor maksimum!" sqref="H407">
      <formula1>G407</formula1>
    </dataValidation>
    <dataValidation type="decimal" errorStyle="stop" operator="lessThanOrEqual" allowBlank="1" showDropDown="1" showInputMessage="0" showErrorMessage="1" error="Skor tidak boleh melebihi skor maksimum!" sqref="K407">
      <formula1>J407</formula1>
    </dataValidation>
    <dataValidation type="decimal" errorStyle="stop" operator="lessThanOrEqual" allowBlank="1" showDropDown="1" showInputMessage="0" showErrorMessage="1" error="Skor tidak boleh melebihi skor maksimum!" sqref="N407">
      <formula1>M407</formula1>
    </dataValidation>
    <dataValidation type="decimal" errorStyle="stop" operator="lessThanOrEqual" allowBlank="1" showDropDown="1" showInputMessage="0" showErrorMessage="1" error="Skor tidak boleh melebihi skor maksimum!" sqref="Q407">
      <formula1>P407</formula1>
    </dataValidation>
    <dataValidation type="decimal" errorStyle="stop" operator="lessThanOrEqual" allowBlank="1" showDropDown="1" showInputMessage="0" showErrorMessage="1" error="Skor tidak boleh melebihi skor maksimum!" sqref="E408">
      <formula1>D408</formula1>
    </dataValidation>
    <dataValidation type="decimal" errorStyle="stop" operator="lessThanOrEqual" allowBlank="1" showDropDown="1" showInputMessage="0" showErrorMessage="1" error="Skor tidak boleh melebihi skor maksimum!" sqref="H408">
      <formula1>G408</formula1>
    </dataValidation>
    <dataValidation type="decimal" errorStyle="stop" operator="lessThanOrEqual" allowBlank="1" showDropDown="1" showInputMessage="0" showErrorMessage="1" error="Skor tidak boleh melebihi skor maksimum!" sqref="K408">
      <formula1>J408</formula1>
    </dataValidation>
    <dataValidation type="decimal" errorStyle="stop" operator="lessThanOrEqual" allowBlank="1" showDropDown="1" showInputMessage="0" showErrorMessage="1" error="Skor tidak boleh melebihi skor maksimum!" sqref="N408">
      <formula1>M408</formula1>
    </dataValidation>
    <dataValidation type="decimal" errorStyle="stop" operator="lessThanOrEqual" allowBlank="1" showDropDown="1" showInputMessage="0" showErrorMessage="1" error="Skor tidak boleh melebihi skor maksimum!" sqref="Q408">
      <formula1>P408</formula1>
    </dataValidation>
    <dataValidation type="decimal" errorStyle="stop" operator="lessThanOrEqual" allowBlank="1" showDropDown="1" showInputMessage="0" showErrorMessage="1" error="Skor tidak boleh melebihi skor maksimum!" sqref="E409">
      <formula1>D409</formula1>
    </dataValidation>
    <dataValidation type="decimal" errorStyle="stop" operator="lessThanOrEqual" allowBlank="1" showDropDown="1" showInputMessage="0" showErrorMessage="1" error="Skor tidak boleh melebihi skor maksimum!" sqref="H409">
      <formula1>G409</formula1>
    </dataValidation>
    <dataValidation type="decimal" errorStyle="stop" operator="lessThanOrEqual" allowBlank="1" showDropDown="1" showInputMessage="0" showErrorMessage="1" error="Skor tidak boleh melebihi skor maksimum!" sqref="K409">
      <formula1>J409</formula1>
    </dataValidation>
    <dataValidation type="decimal" errorStyle="stop" operator="lessThanOrEqual" allowBlank="1" showDropDown="1" showInputMessage="0" showErrorMessage="1" error="Skor tidak boleh melebihi skor maksimum!" sqref="N409">
      <formula1>M409</formula1>
    </dataValidation>
    <dataValidation type="decimal" errorStyle="stop" operator="lessThanOrEqual" allowBlank="1" showDropDown="1" showInputMessage="0" showErrorMessage="1" error="Skor tidak boleh melebihi skor maksimum!" sqref="Q409">
      <formula1>P409</formula1>
    </dataValidation>
    <dataValidation type="decimal" errorStyle="stop" operator="lessThanOrEqual" allowBlank="1" showDropDown="1" showInputMessage="0" showErrorMessage="1" error="Skor tidak boleh melebihi skor maksimum!" sqref="E410">
      <formula1>D410</formula1>
    </dataValidation>
    <dataValidation type="decimal" errorStyle="stop" operator="lessThanOrEqual" allowBlank="1" showDropDown="1" showInputMessage="0" showErrorMessage="1" error="Skor tidak boleh melebihi skor maksimum!" sqref="H410">
      <formula1>G410</formula1>
    </dataValidation>
    <dataValidation type="decimal" errorStyle="stop" operator="lessThanOrEqual" allowBlank="1" showDropDown="1" showInputMessage="0" showErrorMessage="1" error="Skor tidak boleh melebihi skor maksimum!" sqref="K410">
      <formula1>J410</formula1>
    </dataValidation>
    <dataValidation type="decimal" errorStyle="stop" operator="lessThanOrEqual" allowBlank="1" showDropDown="1" showInputMessage="0" showErrorMessage="1" error="Skor tidak boleh melebihi skor maksimum!" sqref="N410">
      <formula1>M410</formula1>
    </dataValidation>
    <dataValidation type="decimal" errorStyle="stop" operator="lessThanOrEqual" allowBlank="1" showDropDown="1" showInputMessage="0" showErrorMessage="1" error="Skor tidak boleh melebihi skor maksimum!" sqref="Q410">
      <formula1>P410</formula1>
    </dataValidation>
    <dataValidation type="decimal" errorStyle="stop" operator="lessThanOrEqual" allowBlank="1" showDropDown="1" showInputMessage="0" showErrorMessage="1" error="Skor tidak boleh melebihi skor maksimum!" sqref="E411">
      <formula1>D411</formula1>
    </dataValidation>
    <dataValidation type="decimal" errorStyle="stop" operator="lessThanOrEqual" allowBlank="1" showDropDown="1" showInputMessage="0" showErrorMessage="1" error="Skor tidak boleh melebihi skor maksimum!" sqref="H411">
      <formula1>G411</formula1>
    </dataValidation>
    <dataValidation type="decimal" errorStyle="stop" operator="lessThanOrEqual" allowBlank="1" showDropDown="1" showInputMessage="0" showErrorMessage="1" error="Skor tidak boleh melebihi skor maksimum!" sqref="K411">
      <formula1>J411</formula1>
    </dataValidation>
    <dataValidation type="decimal" errorStyle="stop" operator="lessThanOrEqual" allowBlank="1" showDropDown="1" showInputMessage="0" showErrorMessage="1" error="Skor tidak boleh melebihi skor maksimum!" sqref="N411">
      <formula1>M411</formula1>
    </dataValidation>
    <dataValidation type="decimal" errorStyle="stop" operator="lessThanOrEqual" allowBlank="1" showDropDown="1" showInputMessage="0" showErrorMessage="1" error="Skor tidak boleh melebihi skor maksimum!" sqref="Q411">
      <formula1>P411</formula1>
    </dataValidation>
    <dataValidation type="decimal" errorStyle="stop" operator="lessThanOrEqual" allowBlank="1" showDropDown="1" showInputMessage="0" showErrorMessage="1" error="Skor tidak boleh melebihi skor maksimum!" sqref="E412">
      <formula1>D412</formula1>
    </dataValidation>
    <dataValidation type="decimal" errorStyle="stop" operator="lessThanOrEqual" allowBlank="1" showDropDown="1" showInputMessage="0" showErrorMessage="1" error="Skor tidak boleh melebihi skor maksimum!" sqref="H412">
      <formula1>G412</formula1>
    </dataValidation>
    <dataValidation type="decimal" errorStyle="stop" operator="lessThanOrEqual" allowBlank="1" showDropDown="1" showInputMessage="0" showErrorMessage="1" error="Skor tidak boleh melebihi skor maksimum!" sqref="K412">
      <formula1>J412</formula1>
    </dataValidation>
    <dataValidation type="decimal" errorStyle="stop" operator="lessThanOrEqual" allowBlank="1" showDropDown="1" showInputMessage="0" showErrorMessage="1" error="Skor tidak boleh melebihi skor maksimum!" sqref="N412">
      <formula1>M412</formula1>
    </dataValidation>
    <dataValidation type="decimal" errorStyle="stop" operator="lessThanOrEqual" allowBlank="1" showDropDown="1" showInputMessage="0" showErrorMessage="1" error="Skor tidak boleh melebihi skor maksimum!" sqref="Q412">
      <formula1>P412</formula1>
    </dataValidation>
    <dataValidation type="decimal" errorStyle="stop" operator="lessThanOrEqual" allowBlank="1" showDropDown="1" showInputMessage="0" showErrorMessage="1" error="Skor tidak boleh melebihi skor maksimum!" sqref="E413">
      <formula1>D413</formula1>
    </dataValidation>
    <dataValidation type="decimal" errorStyle="stop" operator="lessThanOrEqual" allowBlank="1" showDropDown="1" showInputMessage="0" showErrorMessage="1" error="Skor tidak boleh melebihi skor maksimum!" sqref="H413">
      <formula1>G413</formula1>
    </dataValidation>
    <dataValidation type="decimal" errorStyle="stop" operator="lessThanOrEqual" allowBlank="1" showDropDown="1" showInputMessage="0" showErrorMessage="1" error="Skor tidak boleh melebihi skor maksimum!" sqref="K413">
      <formula1>J413</formula1>
    </dataValidation>
    <dataValidation type="decimal" errorStyle="stop" operator="lessThanOrEqual" allowBlank="1" showDropDown="1" showInputMessage="0" showErrorMessage="1" error="Skor tidak boleh melebihi skor maksimum!" sqref="N413">
      <formula1>M413</formula1>
    </dataValidation>
    <dataValidation type="decimal" errorStyle="stop" operator="lessThanOrEqual" allowBlank="1" showDropDown="1" showInputMessage="0" showErrorMessage="1" error="Skor tidak boleh melebihi skor maksimum!" sqref="Q413">
      <formula1>P413</formula1>
    </dataValidation>
    <dataValidation type="decimal" errorStyle="stop" operator="lessThanOrEqual" allowBlank="1" showDropDown="1" showInputMessage="0" showErrorMessage="1" error="Skor tidak boleh melebihi skor maksimum!" sqref="E414">
      <formula1>D414</formula1>
    </dataValidation>
    <dataValidation type="decimal" errorStyle="stop" operator="lessThanOrEqual" allowBlank="1" showDropDown="1" showInputMessage="0" showErrorMessage="1" error="Skor tidak boleh melebihi skor maksimum!" sqref="H414">
      <formula1>G414</formula1>
    </dataValidation>
    <dataValidation type="decimal" errorStyle="stop" operator="lessThanOrEqual" allowBlank="1" showDropDown="1" showInputMessage="0" showErrorMessage="1" error="Skor tidak boleh melebihi skor maksimum!" sqref="K414">
      <formula1>J414</formula1>
    </dataValidation>
    <dataValidation type="decimal" errorStyle="stop" operator="lessThanOrEqual" allowBlank="1" showDropDown="1" showInputMessage="0" showErrorMessage="1" error="Skor tidak boleh melebihi skor maksimum!" sqref="N414">
      <formula1>M414</formula1>
    </dataValidation>
    <dataValidation type="decimal" errorStyle="stop" operator="lessThanOrEqual" allowBlank="1" showDropDown="1" showInputMessage="0" showErrorMessage="1" error="Skor tidak boleh melebihi skor maksimum!" sqref="Q414">
      <formula1>P414</formula1>
    </dataValidation>
    <dataValidation type="decimal" errorStyle="stop" operator="lessThanOrEqual" allowBlank="1" showDropDown="1" showInputMessage="0" showErrorMessage="1" error="Skor tidak boleh melebihi skor maksimum!" sqref="E415">
      <formula1>D415</formula1>
    </dataValidation>
    <dataValidation type="decimal" errorStyle="stop" operator="lessThanOrEqual" allowBlank="1" showDropDown="1" showInputMessage="0" showErrorMessage="1" error="Skor tidak boleh melebihi skor maksimum!" sqref="H415">
      <formula1>G415</formula1>
    </dataValidation>
    <dataValidation type="decimal" errorStyle="stop" operator="lessThanOrEqual" allowBlank="1" showDropDown="1" showInputMessage="0" showErrorMessage="1" error="Skor tidak boleh melebihi skor maksimum!" sqref="K415">
      <formula1>J415</formula1>
    </dataValidation>
    <dataValidation type="decimal" errorStyle="stop" operator="lessThanOrEqual" allowBlank="1" showDropDown="1" showInputMessage="0" showErrorMessage="1" error="Skor tidak boleh melebihi skor maksimum!" sqref="N415">
      <formula1>M415</formula1>
    </dataValidation>
    <dataValidation type="decimal" errorStyle="stop" operator="lessThanOrEqual" allowBlank="1" showDropDown="1" showInputMessage="0" showErrorMessage="1" error="Skor tidak boleh melebihi skor maksimum!" sqref="Q415">
      <formula1>P415</formula1>
    </dataValidation>
    <dataValidation type="decimal" errorStyle="stop" operator="lessThanOrEqual" allowBlank="1" showDropDown="1" showInputMessage="0" showErrorMessage="1" error="Skor tidak boleh melebihi skor maksimum!" sqref="E416">
      <formula1>D416</formula1>
    </dataValidation>
    <dataValidation type="decimal" errorStyle="stop" operator="lessThanOrEqual" allowBlank="1" showDropDown="1" showInputMessage="0" showErrorMessage="1" error="Skor tidak boleh melebihi skor maksimum!" sqref="H416">
      <formula1>G416</formula1>
    </dataValidation>
    <dataValidation type="decimal" errorStyle="stop" operator="lessThanOrEqual" allowBlank="1" showDropDown="1" showInputMessage="0" showErrorMessage="1" error="Skor tidak boleh melebihi skor maksimum!" sqref="K416">
      <formula1>J416</formula1>
    </dataValidation>
    <dataValidation type="decimal" errorStyle="stop" operator="lessThanOrEqual" allowBlank="1" showDropDown="1" showInputMessage="0" showErrorMessage="1" error="Skor tidak boleh melebihi skor maksimum!" sqref="N416">
      <formula1>M416</formula1>
    </dataValidation>
    <dataValidation type="decimal" errorStyle="stop" operator="lessThanOrEqual" allowBlank="1" showDropDown="1" showInputMessage="0" showErrorMessage="1" error="Skor tidak boleh melebihi skor maksimum!" sqref="Q416">
      <formula1>P416</formula1>
    </dataValidation>
    <dataValidation type="decimal" errorStyle="stop" operator="lessThanOrEqual" allowBlank="1" showDropDown="1" showInputMessage="0" showErrorMessage="1" error="Skor tidak boleh melebihi skor maksimum!" sqref="E417">
      <formula1>D417</formula1>
    </dataValidation>
    <dataValidation type="decimal" errorStyle="stop" operator="lessThanOrEqual" allowBlank="1" showDropDown="1" showInputMessage="0" showErrorMessage="1" error="Skor tidak boleh melebihi skor maksimum!" sqref="H417">
      <formula1>G417</formula1>
    </dataValidation>
    <dataValidation type="decimal" errorStyle="stop" operator="lessThanOrEqual" allowBlank="1" showDropDown="1" showInputMessage="0" showErrorMessage="1" error="Skor tidak boleh melebihi skor maksimum!" sqref="K417">
      <formula1>J417</formula1>
    </dataValidation>
    <dataValidation type="decimal" errorStyle="stop" operator="lessThanOrEqual" allowBlank="1" showDropDown="1" showInputMessage="0" showErrorMessage="1" error="Skor tidak boleh melebihi skor maksimum!" sqref="N417">
      <formula1>M417</formula1>
    </dataValidation>
    <dataValidation type="decimal" errorStyle="stop" operator="lessThanOrEqual" allowBlank="1" showDropDown="1" showInputMessage="0" showErrorMessage="1" error="Skor tidak boleh melebihi skor maksimum!" sqref="Q417">
      <formula1>P417</formula1>
    </dataValidation>
    <dataValidation type="decimal" errorStyle="stop" operator="lessThanOrEqual" allowBlank="1" showDropDown="1" showInputMessage="0" showErrorMessage="1" error="Skor tidak boleh melebihi skor maksimum!" sqref="E418">
      <formula1>D418</formula1>
    </dataValidation>
    <dataValidation type="decimal" errorStyle="stop" operator="lessThanOrEqual" allowBlank="1" showDropDown="1" showInputMessage="0" showErrorMessage="1" error="Skor tidak boleh melebihi skor maksimum!" sqref="H418">
      <formula1>G418</formula1>
    </dataValidation>
    <dataValidation type="decimal" errorStyle="stop" operator="lessThanOrEqual" allowBlank="1" showDropDown="1" showInputMessage="0" showErrorMessage="1" error="Skor tidak boleh melebihi skor maksimum!" sqref="K418">
      <formula1>J418</formula1>
    </dataValidation>
    <dataValidation type="decimal" errorStyle="stop" operator="lessThanOrEqual" allowBlank="1" showDropDown="1" showInputMessage="0" showErrorMessage="1" error="Skor tidak boleh melebihi skor maksimum!" sqref="N418">
      <formula1>M418</formula1>
    </dataValidation>
    <dataValidation type="decimal" errorStyle="stop" operator="lessThanOrEqual" allowBlank="1" showDropDown="1" showInputMessage="0" showErrorMessage="1" error="Skor tidak boleh melebihi skor maksimum!" sqref="Q418">
      <formula1>P418</formula1>
    </dataValidation>
    <dataValidation type="decimal" errorStyle="stop" operator="lessThanOrEqual" allowBlank="1" showDropDown="1" showInputMessage="0" showErrorMessage="1" error="Skor tidak boleh melebihi skor maksimum!" sqref="E419">
      <formula1>D419</formula1>
    </dataValidation>
    <dataValidation type="decimal" errorStyle="stop" operator="lessThanOrEqual" allowBlank="1" showDropDown="1" showInputMessage="0" showErrorMessage="1" error="Skor tidak boleh melebihi skor maksimum!" sqref="H419">
      <formula1>G419</formula1>
    </dataValidation>
    <dataValidation type="decimal" errorStyle="stop" operator="lessThanOrEqual" allowBlank="1" showDropDown="1" showInputMessage="0" showErrorMessage="1" error="Skor tidak boleh melebihi skor maksimum!" sqref="K419">
      <formula1>J419</formula1>
    </dataValidation>
    <dataValidation type="decimal" errorStyle="stop" operator="lessThanOrEqual" allowBlank="1" showDropDown="1" showInputMessage="0" showErrorMessage="1" error="Skor tidak boleh melebihi skor maksimum!" sqref="N419">
      <formula1>M419</formula1>
    </dataValidation>
    <dataValidation type="decimal" errorStyle="stop" operator="lessThanOrEqual" allowBlank="1" showDropDown="1" showInputMessage="0" showErrorMessage="1" error="Skor tidak boleh melebihi skor maksimum!" sqref="Q419">
      <formula1>P419</formula1>
    </dataValidation>
    <dataValidation type="decimal" errorStyle="stop" operator="lessThanOrEqual" allowBlank="1" showDropDown="1" showInputMessage="0" showErrorMessage="1" error="Skor tidak boleh melebihi skor maksimum!" sqref="E420">
      <formula1>D420</formula1>
    </dataValidation>
    <dataValidation type="decimal" errorStyle="stop" operator="lessThanOrEqual" allowBlank="1" showDropDown="1" showInputMessage="0" showErrorMessage="1" error="Skor tidak boleh melebihi skor maksimum!" sqref="H420">
      <formula1>G420</formula1>
    </dataValidation>
    <dataValidation type="decimal" errorStyle="stop" operator="lessThanOrEqual" allowBlank="1" showDropDown="1" showInputMessage="0" showErrorMessage="1" error="Skor tidak boleh melebihi skor maksimum!" sqref="K420">
      <formula1>J420</formula1>
    </dataValidation>
    <dataValidation type="decimal" errorStyle="stop" operator="lessThanOrEqual" allowBlank="1" showDropDown="1" showInputMessage="0" showErrorMessage="1" error="Skor tidak boleh melebihi skor maksimum!" sqref="N420">
      <formula1>M420</formula1>
    </dataValidation>
    <dataValidation type="decimal" errorStyle="stop" operator="lessThanOrEqual" allowBlank="1" showDropDown="1" showInputMessage="0" showErrorMessage="1" error="Skor tidak boleh melebihi skor maksimum!" sqref="Q420">
      <formula1>P420</formula1>
    </dataValidation>
    <dataValidation type="decimal" errorStyle="stop" operator="lessThanOrEqual" allowBlank="1" showDropDown="1" showInputMessage="0" showErrorMessage="1" error="Skor tidak boleh melebihi skor maksimum!" sqref="E421">
      <formula1>D421</formula1>
    </dataValidation>
    <dataValidation type="decimal" errorStyle="stop" operator="lessThanOrEqual" allowBlank="1" showDropDown="1" showInputMessage="0" showErrorMessage="1" error="Skor tidak boleh melebihi skor maksimum!" sqref="H421">
      <formula1>G421</formula1>
    </dataValidation>
    <dataValidation type="decimal" errorStyle="stop" operator="lessThanOrEqual" allowBlank="1" showDropDown="1" showInputMessage="0" showErrorMessage="1" error="Skor tidak boleh melebihi skor maksimum!" sqref="K421">
      <formula1>J421</formula1>
    </dataValidation>
    <dataValidation type="decimal" errorStyle="stop" operator="lessThanOrEqual" allowBlank="1" showDropDown="1" showInputMessage="0" showErrorMessage="1" error="Skor tidak boleh melebihi skor maksimum!" sqref="N421">
      <formula1>M421</formula1>
    </dataValidation>
    <dataValidation type="decimal" errorStyle="stop" operator="lessThanOrEqual" allowBlank="1" showDropDown="1" showInputMessage="0" showErrorMessage="1" error="Skor tidak boleh melebihi skor maksimum!" sqref="Q421">
      <formula1>P421</formula1>
    </dataValidation>
    <dataValidation type="decimal" errorStyle="stop" operator="lessThanOrEqual" allowBlank="1" showDropDown="1" showInputMessage="0" showErrorMessage="1" error="Skor tidak boleh melebihi skor maksimum!" sqref="E422">
      <formula1>D422</formula1>
    </dataValidation>
    <dataValidation type="decimal" errorStyle="stop" operator="lessThanOrEqual" allowBlank="1" showDropDown="1" showInputMessage="0" showErrorMessage="1" error="Skor tidak boleh melebihi skor maksimum!" sqref="H422">
      <formula1>G422</formula1>
    </dataValidation>
    <dataValidation type="decimal" errorStyle="stop" operator="lessThanOrEqual" allowBlank="1" showDropDown="1" showInputMessage="0" showErrorMessage="1" error="Skor tidak boleh melebihi skor maksimum!" sqref="K422">
      <formula1>J422</formula1>
    </dataValidation>
    <dataValidation type="decimal" errorStyle="stop" operator="lessThanOrEqual" allowBlank="1" showDropDown="1" showInputMessage="0" showErrorMessage="1" error="Skor tidak boleh melebihi skor maksimum!" sqref="N422">
      <formula1>M422</formula1>
    </dataValidation>
    <dataValidation type="decimal" errorStyle="stop" operator="lessThanOrEqual" allowBlank="1" showDropDown="1" showInputMessage="0" showErrorMessage="1" error="Skor tidak boleh melebihi skor maksimum!" sqref="Q422">
      <formula1>P422</formula1>
    </dataValidation>
    <dataValidation type="decimal" errorStyle="stop" operator="lessThanOrEqual" allowBlank="1" showDropDown="1" showInputMessage="0" showErrorMessage="1" error="Skor tidak boleh melebihi skor maksimum!" sqref="E423">
      <formula1>D423</formula1>
    </dataValidation>
    <dataValidation type="decimal" errorStyle="stop" operator="lessThanOrEqual" allowBlank="1" showDropDown="1" showInputMessage="0" showErrorMessage="1" error="Skor tidak boleh melebihi skor maksimum!" sqref="H423">
      <formula1>G423</formula1>
    </dataValidation>
    <dataValidation type="decimal" errorStyle="stop" operator="lessThanOrEqual" allowBlank="1" showDropDown="1" showInputMessage="0" showErrorMessage="1" error="Skor tidak boleh melebihi skor maksimum!" sqref="K423">
      <formula1>J423</formula1>
    </dataValidation>
    <dataValidation type="decimal" errorStyle="stop" operator="lessThanOrEqual" allowBlank="1" showDropDown="1" showInputMessage="0" showErrorMessage="1" error="Skor tidak boleh melebihi skor maksimum!" sqref="N423">
      <formula1>M423</formula1>
    </dataValidation>
    <dataValidation type="decimal" errorStyle="stop" operator="lessThanOrEqual" allowBlank="1" showDropDown="1" showInputMessage="0" showErrorMessage="1" error="Skor tidak boleh melebihi skor maksimum!" sqref="Q423">
      <formula1>P423</formula1>
    </dataValidation>
    <dataValidation type="decimal" errorStyle="stop" operator="lessThanOrEqual" allowBlank="1" showDropDown="1" showInputMessage="0" showErrorMessage="1" error="Skor tidak boleh melebihi skor maksimum!" sqref="E424">
      <formula1>D424</formula1>
    </dataValidation>
    <dataValidation type="decimal" errorStyle="stop" operator="lessThanOrEqual" allowBlank="1" showDropDown="1" showInputMessage="0" showErrorMessage="1" error="Skor tidak boleh melebihi skor maksimum!" sqref="H424">
      <formula1>G424</formula1>
    </dataValidation>
    <dataValidation type="decimal" errorStyle="stop" operator="lessThanOrEqual" allowBlank="1" showDropDown="1" showInputMessage="0" showErrorMessage="1" error="Skor tidak boleh melebihi skor maksimum!" sqref="K424">
      <formula1>J424</formula1>
    </dataValidation>
    <dataValidation type="decimal" errorStyle="stop" operator="lessThanOrEqual" allowBlank="1" showDropDown="1" showInputMessage="0" showErrorMessage="1" error="Skor tidak boleh melebihi skor maksimum!" sqref="N424">
      <formula1>M424</formula1>
    </dataValidation>
    <dataValidation type="decimal" errorStyle="stop" operator="lessThanOrEqual" allowBlank="1" showDropDown="1" showInputMessage="0" showErrorMessage="1" error="Skor tidak boleh melebihi skor maksimum!" sqref="Q424">
      <formula1>P424</formula1>
    </dataValidation>
    <dataValidation type="decimal" errorStyle="stop" operator="lessThanOrEqual" allowBlank="1" showDropDown="1" showInputMessage="0" showErrorMessage="1" error="Skor tidak boleh melebihi skor maksimum!" sqref="E425">
      <formula1>D425</formula1>
    </dataValidation>
    <dataValidation type="decimal" errorStyle="stop" operator="lessThanOrEqual" allowBlank="1" showDropDown="1" showInputMessage="0" showErrorMessage="1" error="Skor tidak boleh melebihi skor maksimum!" sqref="H425">
      <formula1>G425</formula1>
    </dataValidation>
    <dataValidation type="decimal" errorStyle="stop" operator="lessThanOrEqual" allowBlank="1" showDropDown="1" showInputMessage="0" showErrorMessage="1" error="Skor tidak boleh melebihi skor maksimum!" sqref="K425">
      <formula1>J425</formula1>
    </dataValidation>
    <dataValidation type="decimal" errorStyle="stop" operator="lessThanOrEqual" allowBlank="1" showDropDown="1" showInputMessage="0" showErrorMessage="1" error="Skor tidak boleh melebihi skor maksimum!" sqref="N425">
      <formula1>M425</formula1>
    </dataValidation>
    <dataValidation type="decimal" errorStyle="stop" operator="lessThanOrEqual" allowBlank="1" showDropDown="1" showInputMessage="0" showErrorMessage="1" error="Skor tidak boleh melebihi skor maksimum!" sqref="Q425">
      <formula1>P425</formula1>
    </dataValidation>
    <dataValidation type="decimal" errorStyle="stop" operator="lessThanOrEqual" allowBlank="1" showDropDown="1" showInputMessage="0" showErrorMessage="1" error="Skor tidak boleh melebihi skor maksimum!" sqref="E426">
      <formula1>D426</formula1>
    </dataValidation>
    <dataValidation type="decimal" errorStyle="stop" operator="lessThanOrEqual" allowBlank="1" showDropDown="1" showInputMessage="0" showErrorMessage="1" error="Skor tidak boleh melebihi skor maksimum!" sqref="H426">
      <formula1>G426</formula1>
    </dataValidation>
    <dataValidation type="decimal" errorStyle="stop" operator="lessThanOrEqual" allowBlank="1" showDropDown="1" showInputMessage="0" showErrorMessage="1" error="Skor tidak boleh melebihi skor maksimum!" sqref="K426">
      <formula1>J426</formula1>
    </dataValidation>
    <dataValidation type="decimal" errorStyle="stop" operator="lessThanOrEqual" allowBlank="1" showDropDown="1" showInputMessage="0" showErrorMessage="1" error="Skor tidak boleh melebihi skor maksimum!" sqref="N426">
      <formula1>M426</formula1>
    </dataValidation>
    <dataValidation type="decimal" errorStyle="stop" operator="lessThanOrEqual" allowBlank="1" showDropDown="1" showInputMessage="0" showErrorMessage="1" error="Skor tidak boleh melebihi skor maksimum!" sqref="Q426">
      <formula1>P426</formula1>
    </dataValidation>
    <dataValidation type="decimal" errorStyle="stop" operator="lessThanOrEqual" allowBlank="1" showDropDown="1" showInputMessage="0" showErrorMessage="1" error="Skor tidak boleh melebihi skor maksimum!" sqref="E427">
      <formula1>D427</formula1>
    </dataValidation>
    <dataValidation type="decimal" errorStyle="stop" operator="lessThanOrEqual" allowBlank="1" showDropDown="1" showInputMessage="0" showErrorMessage="1" error="Skor tidak boleh melebihi skor maksimum!" sqref="H427">
      <formula1>G427</formula1>
    </dataValidation>
    <dataValidation type="decimal" errorStyle="stop" operator="lessThanOrEqual" allowBlank="1" showDropDown="1" showInputMessage="0" showErrorMessage="1" error="Skor tidak boleh melebihi skor maksimum!" sqref="K427">
      <formula1>J427</formula1>
    </dataValidation>
    <dataValidation type="decimal" errorStyle="stop" operator="lessThanOrEqual" allowBlank="1" showDropDown="1" showInputMessage="0" showErrorMessage="1" error="Skor tidak boleh melebihi skor maksimum!" sqref="N427">
      <formula1>M427</formula1>
    </dataValidation>
    <dataValidation type="decimal" errorStyle="stop" operator="lessThanOrEqual" allowBlank="1" showDropDown="1" showInputMessage="0" showErrorMessage="1" error="Skor tidak boleh melebihi skor maksimum!" sqref="Q427">
      <formula1>P427</formula1>
    </dataValidation>
    <dataValidation type="decimal" errorStyle="stop" operator="lessThanOrEqual" allowBlank="1" showDropDown="1" showInputMessage="0" showErrorMessage="1" error="Skor tidak boleh melebihi skor maksimum!" sqref="E428">
      <formula1>D428</formula1>
    </dataValidation>
    <dataValidation type="decimal" errorStyle="stop" operator="lessThanOrEqual" allowBlank="1" showDropDown="1" showInputMessage="0" showErrorMessage="1" error="Skor tidak boleh melebihi skor maksimum!" sqref="H428">
      <formula1>G428</formula1>
    </dataValidation>
    <dataValidation type="decimal" errorStyle="stop" operator="lessThanOrEqual" allowBlank="1" showDropDown="1" showInputMessage="0" showErrorMessage="1" error="Skor tidak boleh melebihi skor maksimum!" sqref="K428">
      <formula1>J428</formula1>
    </dataValidation>
    <dataValidation type="decimal" errorStyle="stop" operator="lessThanOrEqual" allowBlank="1" showDropDown="1" showInputMessage="0" showErrorMessage="1" error="Skor tidak boleh melebihi skor maksimum!" sqref="N428">
      <formula1>M428</formula1>
    </dataValidation>
    <dataValidation type="decimal" errorStyle="stop" operator="lessThanOrEqual" allowBlank="1" showDropDown="1" showInputMessage="0" showErrorMessage="1" error="Skor tidak boleh melebihi skor maksimum!" sqref="Q428">
      <formula1>P428</formula1>
    </dataValidation>
    <dataValidation type="decimal" errorStyle="stop" operator="lessThanOrEqual" allowBlank="1" showDropDown="1" showInputMessage="0" showErrorMessage="1" error="Skor tidak boleh melebihi skor maksimum!" sqref="E429">
      <formula1>D429</formula1>
    </dataValidation>
    <dataValidation type="decimal" errorStyle="stop" operator="lessThanOrEqual" allowBlank="1" showDropDown="1" showInputMessage="0" showErrorMessage="1" error="Skor tidak boleh melebihi skor maksimum!" sqref="H429">
      <formula1>G429</formula1>
    </dataValidation>
    <dataValidation type="decimal" errorStyle="stop" operator="lessThanOrEqual" allowBlank="1" showDropDown="1" showInputMessage="0" showErrorMessage="1" error="Skor tidak boleh melebihi skor maksimum!" sqref="K429">
      <formula1>J429</formula1>
    </dataValidation>
    <dataValidation type="decimal" errorStyle="stop" operator="lessThanOrEqual" allowBlank="1" showDropDown="1" showInputMessage="0" showErrorMessage="1" error="Skor tidak boleh melebihi skor maksimum!" sqref="N429">
      <formula1>M429</formula1>
    </dataValidation>
    <dataValidation type="decimal" errorStyle="stop" operator="lessThanOrEqual" allowBlank="1" showDropDown="1" showInputMessage="0" showErrorMessage="1" error="Skor tidak boleh melebihi skor maksimum!" sqref="Q429">
      <formula1>P429</formula1>
    </dataValidation>
    <dataValidation type="decimal" errorStyle="stop" operator="lessThanOrEqual" allowBlank="1" showDropDown="1" showInputMessage="0" showErrorMessage="1" error="Skor tidak boleh melebihi skor maksimum!" sqref="E430">
      <formula1>D430</formula1>
    </dataValidation>
    <dataValidation type="decimal" errorStyle="stop" operator="lessThanOrEqual" allowBlank="1" showDropDown="1" showInputMessage="0" showErrorMessage="1" error="Skor tidak boleh melebihi skor maksimum!" sqref="H430">
      <formula1>G430</formula1>
    </dataValidation>
    <dataValidation type="decimal" errorStyle="stop" operator="lessThanOrEqual" allowBlank="1" showDropDown="1" showInputMessage="0" showErrorMessage="1" error="Skor tidak boleh melebihi skor maksimum!" sqref="K430">
      <formula1>J430</formula1>
    </dataValidation>
    <dataValidation type="decimal" errorStyle="stop" operator="lessThanOrEqual" allowBlank="1" showDropDown="1" showInputMessage="0" showErrorMessage="1" error="Skor tidak boleh melebihi skor maksimum!" sqref="N430">
      <formula1>M430</formula1>
    </dataValidation>
    <dataValidation type="decimal" errorStyle="stop" operator="lessThanOrEqual" allowBlank="1" showDropDown="1" showInputMessage="0" showErrorMessage="1" error="Skor tidak boleh melebihi skor maksimum!" sqref="Q430">
      <formula1>P430</formula1>
    </dataValidation>
    <dataValidation type="decimal" errorStyle="stop" operator="lessThanOrEqual" allowBlank="1" showDropDown="1" showInputMessage="0" showErrorMessage="1" error="Skor tidak boleh melebihi skor maksimum!" sqref="E431">
      <formula1>D431</formula1>
    </dataValidation>
    <dataValidation type="decimal" errorStyle="stop" operator="lessThanOrEqual" allowBlank="1" showDropDown="1" showInputMessage="0" showErrorMessage="1" error="Skor tidak boleh melebihi skor maksimum!" sqref="H431">
      <formula1>G431</formula1>
    </dataValidation>
    <dataValidation type="decimal" errorStyle="stop" operator="lessThanOrEqual" allowBlank="1" showDropDown="1" showInputMessage="0" showErrorMessage="1" error="Skor tidak boleh melebihi skor maksimum!" sqref="K431">
      <formula1>J431</formula1>
    </dataValidation>
    <dataValidation type="decimal" errorStyle="stop" operator="lessThanOrEqual" allowBlank="1" showDropDown="1" showInputMessage="0" showErrorMessage="1" error="Skor tidak boleh melebihi skor maksimum!" sqref="N431">
      <formula1>M431</formula1>
    </dataValidation>
    <dataValidation type="decimal" errorStyle="stop" operator="lessThanOrEqual" allowBlank="1" showDropDown="1" showInputMessage="0" showErrorMessage="1" error="Skor tidak boleh melebihi skor maksimum!" sqref="Q431">
      <formula1>P431</formula1>
    </dataValidation>
    <dataValidation type="decimal" errorStyle="stop" operator="lessThanOrEqual" allowBlank="1" showDropDown="1" showInputMessage="0" showErrorMessage="1" error="Skor tidak boleh melebihi skor maksimum!" sqref="E432">
      <formula1>D432</formula1>
    </dataValidation>
    <dataValidation type="decimal" errorStyle="stop" operator="lessThanOrEqual" allowBlank="1" showDropDown="1" showInputMessage="0" showErrorMessage="1" error="Skor tidak boleh melebihi skor maksimum!" sqref="H432">
      <formula1>G432</formula1>
    </dataValidation>
    <dataValidation type="decimal" errorStyle="stop" operator="lessThanOrEqual" allowBlank="1" showDropDown="1" showInputMessage="0" showErrorMessage="1" error="Skor tidak boleh melebihi skor maksimum!" sqref="K432">
      <formula1>J432</formula1>
    </dataValidation>
    <dataValidation type="decimal" errorStyle="stop" operator="lessThanOrEqual" allowBlank="1" showDropDown="1" showInputMessage="0" showErrorMessage="1" error="Skor tidak boleh melebihi skor maksimum!" sqref="N432">
      <formula1>M432</formula1>
    </dataValidation>
    <dataValidation type="decimal" errorStyle="stop" operator="lessThanOrEqual" allowBlank="1" showDropDown="1" showInputMessage="0" showErrorMessage="1" error="Skor tidak boleh melebihi skor maksimum!" sqref="Q432">
      <formula1>P432</formula1>
    </dataValidation>
    <dataValidation type="decimal" errorStyle="stop" operator="lessThanOrEqual" allowBlank="1" showDropDown="1" showInputMessage="0" showErrorMessage="1" error="Skor tidak boleh melebihi skor maksimum!" sqref="E433">
      <formula1>D433</formula1>
    </dataValidation>
    <dataValidation type="decimal" errorStyle="stop" operator="lessThanOrEqual" allowBlank="1" showDropDown="1" showInputMessage="0" showErrorMessage="1" error="Skor tidak boleh melebihi skor maksimum!" sqref="H433">
      <formula1>G433</formula1>
    </dataValidation>
    <dataValidation type="decimal" errorStyle="stop" operator="lessThanOrEqual" allowBlank="1" showDropDown="1" showInputMessage="0" showErrorMessage="1" error="Skor tidak boleh melebihi skor maksimum!" sqref="K433">
      <formula1>J433</formula1>
    </dataValidation>
    <dataValidation type="decimal" errorStyle="stop" operator="lessThanOrEqual" allowBlank="1" showDropDown="1" showInputMessage="0" showErrorMessage="1" error="Skor tidak boleh melebihi skor maksimum!" sqref="N433">
      <formula1>M433</formula1>
    </dataValidation>
    <dataValidation type="decimal" errorStyle="stop" operator="lessThanOrEqual" allowBlank="1" showDropDown="1" showInputMessage="0" showErrorMessage="1" error="Skor tidak boleh melebihi skor maksimum!" sqref="Q433">
      <formula1>P433</formula1>
    </dataValidation>
    <dataValidation type="decimal" errorStyle="stop" operator="lessThanOrEqual" allowBlank="1" showDropDown="1" showInputMessage="0" showErrorMessage="1" error="Skor tidak boleh melebihi skor maksimum!" sqref="E434">
      <formula1>D434</formula1>
    </dataValidation>
    <dataValidation type="decimal" errorStyle="stop" operator="lessThanOrEqual" allowBlank="1" showDropDown="1" showInputMessage="0" showErrorMessage="1" error="Skor tidak boleh melebihi skor maksimum!" sqref="H434">
      <formula1>G434</formula1>
    </dataValidation>
    <dataValidation type="decimal" errorStyle="stop" operator="lessThanOrEqual" allowBlank="1" showDropDown="1" showInputMessage="0" showErrorMessage="1" error="Skor tidak boleh melebihi skor maksimum!" sqref="K434">
      <formula1>J434</formula1>
    </dataValidation>
    <dataValidation type="decimal" errorStyle="stop" operator="lessThanOrEqual" allowBlank="1" showDropDown="1" showInputMessage="0" showErrorMessage="1" error="Skor tidak boleh melebihi skor maksimum!" sqref="N434">
      <formula1>M434</formula1>
    </dataValidation>
    <dataValidation type="decimal" errorStyle="stop" operator="lessThanOrEqual" allowBlank="1" showDropDown="1" showInputMessage="0" showErrorMessage="1" error="Skor tidak boleh melebihi skor maksimum!" sqref="Q434">
      <formula1>P434</formula1>
    </dataValidation>
    <dataValidation type="decimal" errorStyle="stop" operator="lessThanOrEqual" allowBlank="1" showDropDown="1" showInputMessage="0" showErrorMessage="1" error="Skor tidak boleh melebihi skor maksimum!" sqref="E435">
      <formula1>D435</formula1>
    </dataValidation>
    <dataValidation type="decimal" errorStyle="stop" operator="lessThanOrEqual" allowBlank="1" showDropDown="1" showInputMessage="0" showErrorMessage="1" error="Skor tidak boleh melebihi skor maksimum!" sqref="H435">
      <formula1>G435</formula1>
    </dataValidation>
    <dataValidation type="decimal" errorStyle="stop" operator="lessThanOrEqual" allowBlank="1" showDropDown="1" showInputMessage="0" showErrorMessage="1" error="Skor tidak boleh melebihi skor maksimum!" sqref="K435">
      <formula1>J435</formula1>
    </dataValidation>
    <dataValidation type="decimal" errorStyle="stop" operator="lessThanOrEqual" allowBlank="1" showDropDown="1" showInputMessage="0" showErrorMessage="1" error="Skor tidak boleh melebihi skor maksimum!" sqref="N435">
      <formula1>M435</formula1>
    </dataValidation>
    <dataValidation type="decimal" errorStyle="stop" operator="lessThanOrEqual" allowBlank="1" showDropDown="1" showInputMessage="0" showErrorMessage="1" error="Skor tidak boleh melebihi skor maksimum!" sqref="Q435">
      <formula1>P435</formula1>
    </dataValidation>
    <dataValidation type="decimal" errorStyle="stop" operator="lessThanOrEqual" allowBlank="1" showDropDown="1" showInputMessage="0" showErrorMessage="1" error="Skor tidak boleh melebihi skor maksimum!" sqref="E436">
      <formula1>D436</formula1>
    </dataValidation>
    <dataValidation type="decimal" errorStyle="stop" operator="lessThanOrEqual" allowBlank="1" showDropDown="1" showInputMessage="0" showErrorMessage="1" error="Skor tidak boleh melebihi skor maksimum!" sqref="H436">
      <formula1>G436</formula1>
    </dataValidation>
    <dataValidation type="decimal" errorStyle="stop" operator="lessThanOrEqual" allowBlank="1" showDropDown="1" showInputMessage="0" showErrorMessage="1" error="Skor tidak boleh melebihi skor maksimum!" sqref="K436">
      <formula1>J436</formula1>
    </dataValidation>
    <dataValidation type="decimal" errorStyle="stop" operator="lessThanOrEqual" allowBlank="1" showDropDown="1" showInputMessage="0" showErrorMessage="1" error="Skor tidak boleh melebihi skor maksimum!" sqref="N436">
      <formula1>M436</formula1>
    </dataValidation>
    <dataValidation type="decimal" errorStyle="stop" operator="lessThanOrEqual" allowBlank="1" showDropDown="1" showInputMessage="0" showErrorMessage="1" error="Skor tidak boleh melebihi skor maksimum!" sqref="Q436">
      <formula1>P436</formula1>
    </dataValidation>
    <dataValidation type="decimal" errorStyle="stop" operator="lessThanOrEqual" allowBlank="1" showDropDown="1" showInputMessage="0" showErrorMessage="1" error="Skor tidak boleh melebihi skor maksimum!" sqref="E437">
      <formula1>D437</formula1>
    </dataValidation>
    <dataValidation type="decimal" errorStyle="stop" operator="lessThanOrEqual" allowBlank="1" showDropDown="1" showInputMessage="0" showErrorMessage="1" error="Skor tidak boleh melebihi skor maksimum!" sqref="H437">
      <formula1>G437</formula1>
    </dataValidation>
    <dataValidation type="decimal" errorStyle="stop" operator="lessThanOrEqual" allowBlank="1" showDropDown="1" showInputMessage="0" showErrorMessage="1" error="Skor tidak boleh melebihi skor maksimum!" sqref="K437">
      <formula1>J437</formula1>
    </dataValidation>
    <dataValidation type="decimal" errorStyle="stop" operator="lessThanOrEqual" allowBlank="1" showDropDown="1" showInputMessage="0" showErrorMessage="1" error="Skor tidak boleh melebihi skor maksimum!" sqref="N437">
      <formula1>M437</formula1>
    </dataValidation>
    <dataValidation type="decimal" errorStyle="stop" operator="lessThanOrEqual" allowBlank="1" showDropDown="1" showInputMessage="0" showErrorMessage="1" error="Skor tidak boleh melebihi skor maksimum!" sqref="Q437">
      <formula1>P437</formula1>
    </dataValidation>
    <dataValidation type="decimal" errorStyle="stop" operator="lessThanOrEqual" allowBlank="1" showDropDown="1" showInputMessage="0" showErrorMessage="1" error="Skor tidak boleh melebihi skor maksimum!" sqref="E438">
      <formula1>D438</formula1>
    </dataValidation>
    <dataValidation type="decimal" errorStyle="stop" operator="lessThanOrEqual" allowBlank="1" showDropDown="1" showInputMessage="0" showErrorMessage="1" error="Skor tidak boleh melebihi skor maksimum!" sqref="H438">
      <formula1>G438</formula1>
    </dataValidation>
    <dataValidation type="decimal" errorStyle="stop" operator="lessThanOrEqual" allowBlank="1" showDropDown="1" showInputMessage="0" showErrorMessage="1" error="Skor tidak boleh melebihi skor maksimum!" sqref="K438">
      <formula1>J438</formula1>
    </dataValidation>
    <dataValidation type="decimal" errorStyle="stop" operator="lessThanOrEqual" allowBlank="1" showDropDown="1" showInputMessage="0" showErrorMessage="1" error="Skor tidak boleh melebihi skor maksimum!" sqref="N438">
      <formula1>M438</formula1>
    </dataValidation>
    <dataValidation type="decimal" errorStyle="stop" operator="lessThanOrEqual" allowBlank="1" showDropDown="1" showInputMessage="0" showErrorMessage="1" error="Skor tidak boleh melebihi skor maksimum!" sqref="Q438">
      <formula1>P438</formula1>
    </dataValidation>
    <dataValidation type="decimal" errorStyle="stop" operator="lessThanOrEqual" allowBlank="1" showDropDown="1" showInputMessage="0" showErrorMessage="1" error="Skor tidak boleh melebihi skor maksimum!" sqref="E439">
      <formula1>D439</formula1>
    </dataValidation>
    <dataValidation type="decimal" errorStyle="stop" operator="lessThanOrEqual" allowBlank="1" showDropDown="1" showInputMessage="0" showErrorMessage="1" error="Skor tidak boleh melebihi skor maksimum!" sqref="H439">
      <formula1>G439</formula1>
    </dataValidation>
    <dataValidation type="decimal" errorStyle="stop" operator="lessThanOrEqual" allowBlank="1" showDropDown="1" showInputMessage="0" showErrorMessage="1" error="Skor tidak boleh melebihi skor maksimum!" sqref="K439">
      <formula1>J439</formula1>
    </dataValidation>
    <dataValidation type="decimal" errorStyle="stop" operator="lessThanOrEqual" allowBlank="1" showDropDown="1" showInputMessage="0" showErrorMessage="1" error="Skor tidak boleh melebihi skor maksimum!" sqref="N439">
      <formula1>M439</formula1>
    </dataValidation>
    <dataValidation type="decimal" errorStyle="stop" operator="lessThanOrEqual" allowBlank="1" showDropDown="1" showInputMessage="0" showErrorMessage="1" error="Skor tidak boleh melebihi skor maksimum!" sqref="Q439">
      <formula1>P439</formula1>
    </dataValidation>
    <dataValidation type="decimal" errorStyle="stop" operator="lessThanOrEqual" allowBlank="1" showDropDown="1" showInputMessage="0" showErrorMessage="1" error="Skor tidak boleh melebihi skor maksimum!" sqref="E440">
      <formula1>D440</formula1>
    </dataValidation>
    <dataValidation type="decimal" errorStyle="stop" operator="lessThanOrEqual" allowBlank="1" showDropDown="1" showInputMessage="0" showErrorMessage="1" error="Skor tidak boleh melebihi skor maksimum!" sqref="H440">
      <formula1>G440</formula1>
    </dataValidation>
    <dataValidation type="decimal" errorStyle="stop" operator="lessThanOrEqual" allowBlank="1" showDropDown="1" showInputMessage="0" showErrorMessage="1" error="Skor tidak boleh melebihi skor maksimum!" sqref="K440">
      <formula1>J440</formula1>
    </dataValidation>
    <dataValidation type="decimal" errorStyle="stop" operator="lessThanOrEqual" allowBlank="1" showDropDown="1" showInputMessage="0" showErrorMessage="1" error="Skor tidak boleh melebihi skor maksimum!" sqref="N440">
      <formula1>M440</formula1>
    </dataValidation>
    <dataValidation type="decimal" errorStyle="stop" operator="lessThanOrEqual" allowBlank="1" showDropDown="1" showInputMessage="0" showErrorMessage="1" error="Skor tidak boleh melebihi skor maksimum!" sqref="Q440">
      <formula1>P440</formula1>
    </dataValidation>
    <dataValidation type="decimal" errorStyle="stop" operator="lessThanOrEqual" allowBlank="1" showDropDown="1" showInputMessage="0" showErrorMessage="1" error="Skor tidak boleh melebihi skor maksimum!" sqref="E441">
      <formula1>D441</formula1>
    </dataValidation>
    <dataValidation type="decimal" errorStyle="stop" operator="lessThanOrEqual" allowBlank="1" showDropDown="1" showInputMessage="0" showErrorMessage="1" error="Skor tidak boleh melebihi skor maksimum!" sqref="H441">
      <formula1>G441</formula1>
    </dataValidation>
    <dataValidation type="decimal" errorStyle="stop" operator="lessThanOrEqual" allowBlank="1" showDropDown="1" showInputMessage="0" showErrorMessage="1" error="Skor tidak boleh melebihi skor maksimum!" sqref="K441">
      <formula1>J441</formula1>
    </dataValidation>
    <dataValidation type="decimal" errorStyle="stop" operator="lessThanOrEqual" allowBlank="1" showDropDown="1" showInputMessage="0" showErrorMessage="1" error="Skor tidak boleh melebihi skor maksimum!" sqref="N441">
      <formula1>M441</formula1>
    </dataValidation>
    <dataValidation type="decimal" errorStyle="stop" operator="lessThanOrEqual" allowBlank="1" showDropDown="1" showInputMessage="0" showErrorMessage="1" error="Skor tidak boleh melebihi skor maksimum!" sqref="Q441">
      <formula1>P441</formula1>
    </dataValidation>
    <dataValidation type="decimal" errorStyle="stop" operator="lessThanOrEqual" allowBlank="1" showDropDown="1" showInputMessage="0" showErrorMessage="1" error="Skor tidak boleh melebihi skor maksimum!" sqref="E442">
      <formula1>D442</formula1>
    </dataValidation>
    <dataValidation type="decimal" errorStyle="stop" operator="lessThanOrEqual" allowBlank="1" showDropDown="1" showInputMessage="0" showErrorMessage="1" error="Skor tidak boleh melebihi skor maksimum!" sqref="H442">
      <formula1>G442</formula1>
    </dataValidation>
    <dataValidation type="decimal" errorStyle="stop" operator="lessThanOrEqual" allowBlank="1" showDropDown="1" showInputMessage="0" showErrorMessage="1" error="Skor tidak boleh melebihi skor maksimum!" sqref="K442">
      <formula1>J442</formula1>
    </dataValidation>
    <dataValidation type="decimal" errorStyle="stop" operator="lessThanOrEqual" allowBlank="1" showDropDown="1" showInputMessage="0" showErrorMessage="1" error="Skor tidak boleh melebihi skor maksimum!" sqref="N442">
      <formula1>M442</formula1>
    </dataValidation>
    <dataValidation type="decimal" errorStyle="stop" operator="lessThanOrEqual" allowBlank="1" showDropDown="1" showInputMessage="0" showErrorMessage="1" error="Skor tidak boleh melebihi skor maksimum!" sqref="Q442">
      <formula1>P442</formula1>
    </dataValidation>
    <dataValidation type="decimal" errorStyle="stop" operator="lessThanOrEqual" allowBlank="1" showDropDown="1" showInputMessage="0" showErrorMessage="1" error="Skor tidak boleh melebihi skor maksimum!" sqref="E443">
      <formula1>D443</formula1>
    </dataValidation>
    <dataValidation type="decimal" errorStyle="stop" operator="lessThanOrEqual" allowBlank="1" showDropDown="1" showInputMessage="0" showErrorMessage="1" error="Skor tidak boleh melebihi skor maksimum!" sqref="H443">
      <formula1>G443</formula1>
    </dataValidation>
    <dataValidation type="decimal" errorStyle="stop" operator="lessThanOrEqual" allowBlank="1" showDropDown="1" showInputMessage="0" showErrorMessage="1" error="Skor tidak boleh melebihi skor maksimum!" sqref="K443">
      <formula1>J443</formula1>
    </dataValidation>
    <dataValidation type="decimal" errorStyle="stop" operator="lessThanOrEqual" allowBlank="1" showDropDown="1" showInputMessage="0" showErrorMessage="1" error="Skor tidak boleh melebihi skor maksimum!" sqref="N443">
      <formula1>M443</formula1>
    </dataValidation>
    <dataValidation type="decimal" errorStyle="stop" operator="lessThanOrEqual" allowBlank="1" showDropDown="1" showInputMessage="0" showErrorMessage="1" error="Skor tidak boleh melebihi skor maksimum!" sqref="Q443">
      <formula1>P443</formula1>
    </dataValidation>
    <dataValidation type="decimal" errorStyle="stop" operator="lessThanOrEqual" allowBlank="1" showDropDown="1" showInputMessage="0" showErrorMessage="1" error="Skor tidak boleh melebihi skor maksimum!" sqref="E444">
      <formula1>D444</formula1>
    </dataValidation>
    <dataValidation type="decimal" errorStyle="stop" operator="lessThanOrEqual" allowBlank="1" showDropDown="1" showInputMessage="0" showErrorMessage="1" error="Skor tidak boleh melebihi skor maksimum!" sqref="H444">
      <formula1>G444</formula1>
    </dataValidation>
    <dataValidation type="decimal" errorStyle="stop" operator="lessThanOrEqual" allowBlank="1" showDropDown="1" showInputMessage="0" showErrorMessage="1" error="Skor tidak boleh melebihi skor maksimum!" sqref="K444">
      <formula1>J444</formula1>
    </dataValidation>
    <dataValidation type="decimal" errorStyle="stop" operator="lessThanOrEqual" allowBlank="1" showDropDown="1" showInputMessage="0" showErrorMessage="1" error="Skor tidak boleh melebihi skor maksimum!" sqref="N444">
      <formula1>M444</formula1>
    </dataValidation>
    <dataValidation type="decimal" errorStyle="stop" operator="lessThanOrEqual" allowBlank="1" showDropDown="1" showInputMessage="0" showErrorMessage="1" error="Skor tidak boleh melebihi skor maksimum!" sqref="Q444">
      <formula1>P444</formula1>
    </dataValidation>
    <dataValidation type="decimal" errorStyle="stop" operator="lessThanOrEqual" allowBlank="1" showDropDown="1" showInputMessage="0" showErrorMessage="1" error="Skor tidak boleh melebihi skor maksimum!" sqref="E445">
      <formula1>D445</formula1>
    </dataValidation>
    <dataValidation type="decimal" errorStyle="stop" operator="lessThanOrEqual" allowBlank="1" showDropDown="1" showInputMessage="0" showErrorMessage="1" error="Skor tidak boleh melebihi skor maksimum!" sqref="H445">
      <formula1>G445</formula1>
    </dataValidation>
    <dataValidation type="decimal" errorStyle="stop" operator="lessThanOrEqual" allowBlank="1" showDropDown="1" showInputMessage="0" showErrorMessage="1" error="Skor tidak boleh melebihi skor maksimum!" sqref="K445">
      <formula1>J445</formula1>
    </dataValidation>
    <dataValidation type="decimal" errorStyle="stop" operator="lessThanOrEqual" allowBlank="1" showDropDown="1" showInputMessage="0" showErrorMessage="1" error="Skor tidak boleh melebihi skor maksimum!" sqref="N445">
      <formula1>M445</formula1>
    </dataValidation>
    <dataValidation type="decimal" errorStyle="stop" operator="lessThanOrEqual" allowBlank="1" showDropDown="1" showInputMessage="0" showErrorMessage="1" error="Skor tidak boleh melebihi skor maksimum!" sqref="Q445">
      <formula1>P445</formula1>
    </dataValidation>
    <dataValidation type="decimal" errorStyle="stop" operator="lessThanOrEqual" allowBlank="1" showDropDown="1" showInputMessage="0" showErrorMessage="1" error="Skor tidak boleh melebihi skor maksimum!" sqref="E446">
      <formula1>D446</formula1>
    </dataValidation>
    <dataValidation type="decimal" errorStyle="stop" operator="lessThanOrEqual" allowBlank="1" showDropDown="1" showInputMessage="0" showErrorMessage="1" error="Skor tidak boleh melebihi skor maksimum!" sqref="H446">
      <formula1>G446</formula1>
    </dataValidation>
    <dataValidation type="decimal" errorStyle="stop" operator="lessThanOrEqual" allowBlank="1" showDropDown="1" showInputMessage="0" showErrorMessage="1" error="Skor tidak boleh melebihi skor maksimum!" sqref="K446">
      <formula1>J446</formula1>
    </dataValidation>
    <dataValidation type="decimal" errorStyle="stop" operator="lessThanOrEqual" allowBlank="1" showDropDown="1" showInputMessage="0" showErrorMessage="1" error="Skor tidak boleh melebihi skor maksimum!" sqref="N446">
      <formula1>M446</formula1>
    </dataValidation>
    <dataValidation type="decimal" errorStyle="stop" operator="lessThanOrEqual" allowBlank="1" showDropDown="1" showInputMessage="0" showErrorMessage="1" error="Skor tidak boleh melebihi skor maksimum!" sqref="Q446">
      <formula1>P446</formula1>
    </dataValidation>
    <dataValidation type="decimal" errorStyle="stop" operator="lessThanOrEqual" allowBlank="1" showDropDown="1" showInputMessage="0" showErrorMessage="1" error="Skor tidak boleh melebihi skor maksimum!" sqref="E447">
      <formula1>D447</formula1>
    </dataValidation>
    <dataValidation type="decimal" errorStyle="stop" operator="lessThanOrEqual" allowBlank="1" showDropDown="1" showInputMessage="0" showErrorMessage="1" error="Skor tidak boleh melebihi skor maksimum!" sqref="H447">
      <formula1>G447</formula1>
    </dataValidation>
    <dataValidation type="decimal" errorStyle="stop" operator="lessThanOrEqual" allowBlank="1" showDropDown="1" showInputMessage="0" showErrorMessage="1" error="Skor tidak boleh melebihi skor maksimum!" sqref="K447">
      <formula1>J447</formula1>
    </dataValidation>
    <dataValidation type="decimal" errorStyle="stop" operator="lessThanOrEqual" allowBlank="1" showDropDown="1" showInputMessage="0" showErrorMessage="1" error="Skor tidak boleh melebihi skor maksimum!" sqref="N447">
      <formula1>M447</formula1>
    </dataValidation>
    <dataValidation type="decimal" errorStyle="stop" operator="lessThanOrEqual" allowBlank="1" showDropDown="1" showInputMessage="0" showErrorMessage="1" error="Skor tidak boleh melebihi skor maksimum!" sqref="Q447">
      <formula1>P447</formula1>
    </dataValidation>
    <dataValidation type="decimal" errorStyle="stop" operator="lessThanOrEqual" allowBlank="1" showDropDown="1" showInputMessage="0" showErrorMessage="1" error="Skor tidak boleh melebihi skor maksimum!" sqref="E448">
      <formula1>D448</formula1>
    </dataValidation>
    <dataValidation type="decimal" errorStyle="stop" operator="lessThanOrEqual" allowBlank="1" showDropDown="1" showInputMessage="0" showErrorMessage="1" error="Skor tidak boleh melebihi skor maksimum!" sqref="H448">
      <formula1>G448</formula1>
    </dataValidation>
    <dataValidation type="decimal" errorStyle="stop" operator="lessThanOrEqual" allowBlank="1" showDropDown="1" showInputMessage="0" showErrorMessage="1" error="Skor tidak boleh melebihi skor maksimum!" sqref="K448">
      <formula1>J448</formula1>
    </dataValidation>
    <dataValidation type="decimal" errorStyle="stop" operator="lessThanOrEqual" allowBlank="1" showDropDown="1" showInputMessage="0" showErrorMessage="1" error="Skor tidak boleh melebihi skor maksimum!" sqref="N448">
      <formula1>M448</formula1>
    </dataValidation>
    <dataValidation type="decimal" errorStyle="stop" operator="lessThanOrEqual" allowBlank="1" showDropDown="1" showInputMessage="0" showErrorMessage="1" error="Skor tidak boleh melebihi skor maksimum!" sqref="Q448">
      <formula1>P448</formula1>
    </dataValidation>
    <dataValidation type="decimal" errorStyle="stop" operator="lessThanOrEqual" allowBlank="1" showDropDown="1" showInputMessage="0" showErrorMessage="1" error="Skor tidak boleh melebihi skor maksimum!" sqref="E449">
      <formula1>D449</formula1>
    </dataValidation>
    <dataValidation type="decimal" errorStyle="stop" operator="lessThanOrEqual" allowBlank="1" showDropDown="1" showInputMessage="0" showErrorMessage="1" error="Skor tidak boleh melebihi skor maksimum!" sqref="H449">
      <formula1>G449</formula1>
    </dataValidation>
    <dataValidation type="decimal" errorStyle="stop" operator="lessThanOrEqual" allowBlank="1" showDropDown="1" showInputMessage="0" showErrorMessage="1" error="Skor tidak boleh melebihi skor maksimum!" sqref="K449">
      <formula1>J449</formula1>
    </dataValidation>
    <dataValidation type="decimal" errorStyle="stop" operator="lessThanOrEqual" allowBlank="1" showDropDown="1" showInputMessage="0" showErrorMessage="1" error="Skor tidak boleh melebihi skor maksimum!" sqref="N449">
      <formula1>M449</formula1>
    </dataValidation>
    <dataValidation type="decimal" errorStyle="stop" operator="lessThanOrEqual" allowBlank="1" showDropDown="1" showInputMessage="0" showErrorMessage="1" error="Skor tidak boleh melebihi skor maksimum!" sqref="Q449">
      <formula1>P449</formula1>
    </dataValidation>
    <dataValidation type="decimal" errorStyle="stop" operator="lessThanOrEqual" allowBlank="1" showDropDown="1" showInputMessage="0" showErrorMessage="1" error="Skor tidak boleh melebihi skor maksimum!" sqref="E450">
      <formula1>D450</formula1>
    </dataValidation>
    <dataValidation type="decimal" errorStyle="stop" operator="lessThanOrEqual" allowBlank="1" showDropDown="1" showInputMessage="0" showErrorMessage="1" error="Skor tidak boleh melebihi skor maksimum!" sqref="H450">
      <formula1>G450</formula1>
    </dataValidation>
    <dataValidation type="decimal" errorStyle="stop" operator="lessThanOrEqual" allowBlank="1" showDropDown="1" showInputMessage="0" showErrorMessage="1" error="Skor tidak boleh melebihi skor maksimum!" sqref="K450">
      <formula1>J450</formula1>
    </dataValidation>
    <dataValidation type="decimal" errorStyle="stop" operator="lessThanOrEqual" allowBlank="1" showDropDown="1" showInputMessage="0" showErrorMessage="1" error="Skor tidak boleh melebihi skor maksimum!" sqref="N450">
      <formula1>M450</formula1>
    </dataValidation>
    <dataValidation type="decimal" errorStyle="stop" operator="lessThanOrEqual" allowBlank="1" showDropDown="1" showInputMessage="0" showErrorMessage="1" error="Skor tidak boleh melebihi skor maksimum!" sqref="Q450">
      <formula1>P450</formula1>
    </dataValidation>
    <dataValidation type="decimal" errorStyle="stop" operator="lessThanOrEqual" allowBlank="1" showDropDown="1" showInputMessage="0" showErrorMessage="1" error="Skor tidak boleh melebihi skor maksimum!" sqref="E451">
      <formula1>D451</formula1>
    </dataValidation>
    <dataValidation type="decimal" errorStyle="stop" operator="lessThanOrEqual" allowBlank="1" showDropDown="1" showInputMessage="0" showErrorMessage="1" error="Skor tidak boleh melebihi skor maksimum!" sqref="H451">
      <formula1>G451</formula1>
    </dataValidation>
    <dataValidation type="decimal" errorStyle="stop" operator="lessThanOrEqual" allowBlank="1" showDropDown="1" showInputMessage="0" showErrorMessage="1" error="Skor tidak boleh melebihi skor maksimum!" sqref="K451">
      <formula1>J451</formula1>
    </dataValidation>
    <dataValidation type="decimal" errorStyle="stop" operator="lessThanOrEqual" allowBlank="1" showDropDown="1" showInputMessage="0" showErrorMessage="1" error="Skor tidak boleh melebihi skor maksimum!" sqref="N451">
      <formula1>M451</formula1>
    </dataValidation>
    <dataValidation type="decimal" errorStyle="stop" operator="lessThanOrEqual" allowBlank="1" showDropDown="1" showInputMessage="0" showErrorMessage="1" error="Skor tidak boleh melebihi skor maksimum!" sqref="Q451">
      <formula1>P451</formula1>
    </dataValidation>
    <dataValidation type="decimal" errorStyle="stop" operator="lessThanOrEqual" allowBlank="1" showDropDown="1" showInputMessage="0" showErrorMessage="1" error="Skor tidak boleh melebihi skor maksimum!" sqref="E452">
      <formula1>D452</formula1>
    </dataValidation>
    <dataValidation type="decimal" errorStyle="stop" operator="lessThanOrEqual" allowBlank="1" showDropDown="1" showInputMessage="0" showErrorMessage="1" error="Skor tidak boleh melebihi skor maksimum!" sqref="H452">
      <formula1>G452</formula1>
    </dataValidation>
    <dataValidation type="decimal" errorStyle="stop" operator="lessThanOrEqual" allowBlank="1" showDropDown="1" showInputMessage="0" showErrorMessage="1" error="Skor tidak boleh melebihi skor maksimum!" sqref="K452">
      <formula1>J452</formula1>
    </dataValidation>
    <dataValidation type="decimal" errorStyle="stop" operator="lessThanOrEqual" allowBlank="1" showDropDown="1" showInputMessage="0" showErrorMessage="1" error="Skor tidak boleh melebihi skor maksimum!" sqref="N452">
      <formula1>M452</formula1>
    </dataValidation>
    <dataValidation type="decimal" errorStyle="stop" operator="lessThanOrEqual" allowBlank="1" showDropDown="1" showInputMessage="0" showErrorMessage="1" error="Skor tidak boleh melebihi skor maksimum!" sqref="Q452">
      <formula1>P452</formula1>
    </dataValidation>
    <dataValidation type="decimal" errorStyle="stop" operator="lessThanOrEqual" allowBlank="1" showDropDown="1" showInputMessage="0" showErrorMessage="1" error="Skor tidak boleh melebihi skor maksimum!" sqref="E453">
      <formula1>D453</formula1>
    </dataValidation>
    <dataValidation type="decimal" errorStyle="stop" operator="lessThanOrEqual" allowBlank="1" showDropDown="1" showInputMessage="0" showErrorMessage="1" error="Skor tidak boleh melebihi skor maksimum!" sqref="H453">
      <formula1>G453</formula1>
    </dataValidation>
    <dataValidation type="decimal" errorStyle="stop" operator="lessThanOrEqual" allowBlank="1" showDropDown="1" showInputMessage="0" showErrorMessage="1" error="Skor tidak boleh melebihi skor maksimum!" sqref="K453">
      <formula1>J453</formula1>
    </dataValidation>
    <dataValidation type="decimal" errorStyle="stop" operator="lessThanOrEqual" allowBlank="1" showDropDown="1" showInputMessage="0" showErrorMessage="1" error="Skor tidak boleh melebihi skor maksimum!" sqref="N453">
      <formula1>M453</formula1>
    </dataValidation>
    <dataValidation type="decimal" errorStyle="stop" operator="lessThanOrEqual" allowBlank="1" showDropDown="1" showInputMessage="0" showErrorMessage="1" error="Skor tidak boleh melebihi skor maksimum!" sqref="Q453">
      <formula1>P453</formula1>
    </dataValidation>
    <dataValidation type="decimal" errorStyle="stop" operator="lessThanOrEqual" allowBlank="1" showDropDown="1" showInputMessage="0" showErrorMessage="1" error="Skor tidak boleh melebihi skor maksimum!" sqref="E454">
      <formula1>D454</formula1>
    </dataValidation>
    <dataValidation type="decimal" errorStyle="stop" operator="lessThanOrEqual" allowBlank="1" showDropDown="1" showInputMessage="0" showErrorMessage="1" error="Skor tidak boleh melebihi skor maksimum!" sqref="H454">
      <formula1>G454</formula1>
    </dataValidation>
    <dataValidation type="decimal" errorStyle="stop" operator="lessThanOrEqual" allowBlank="1" showDropDown="1" showInputMessage="0" showErrorMessage="1" error="Skor tidak boleh melebihi skor maksimum!" sqref="K454">
      <formula1>J454</formula1>
    </dataValidation>
    <dataValidation type="decimal" errorStyle="stop" operator="lessThanOrEqual" allowBlank="1" showDropDown="1" showInputMessage="0" showErrorMessage="1" error="Skor tidak boleh melebihi skor maksimum!" sqref="N454">
      <formula1>M454</formula1>
    </dataValidation>
    <dataValidation type="decimal" errorStyle="stop" operator="lessThanOrEqual" allowBlank="1" showDropDown="1" showInputMessage="0" showErrorMessage="1" error="Skor tidak boleh melebihi skor maksimum!" sqref="Q454">
      <formula1>P454</formula1>
    </dataValidation>
    <dataValidation type="decimal" errorStyle="stop" operator="lessThanOrEqual" allowBlank="1" showDropDown="1" showInputMessage="0" showErrorMessage="1" error="Skor tidak boleh melebihi skor maksimum!" sqref="E455">
      <formula1>D455</formula1>
    </dataValidation>
    <dataValidation type="decimal" errorStyle="stop" operator="lessThanOrEqual" allowBlank="1" showDropDown="1" showInputMessage="0" showErrorMessage="1" error="Skor tidak boleh melebihi skor maksimum!" sqref="H455">
      <formula1>G455</formula1>
    </dataValidation>
    <dataValidation type="decimal" errorStyle="stop" operator="lessThanOrEqual" allowBlank="1" showDropDown="1" showInputMessage="0" showErrorMessage="1" error="Skor tidak boleh melebihi skor maksimum!" sqref="K455">
      <formula1>J455</formula1>
    </dataValidation>
    <dataValidation type="decimal" errorStyle="stop" operator="lessThanOrEqual" allowBlank="1" showDropDown="1" showInputMessage="0" showErrorMessage="1" error="Skor tidak boleh melebihi skor maksimum!" sqref="N455">
      <formula1>M455</formula1>
    </dataValidation>
    <dataValidation type="decimal" errorStyle="stop" operator="lessThanOrEqual" allowBlank="1" showDropDown="1" showInputMessage="0" showErrorMessage="1" error="Skor tidak boleh melebihi skor maksimum!" sqref="Q455">
      <formula1>P455</formula1>
    </dataValidation>
    <dataValidation type="decimal" errorStyle="stop" operator="lessThanOrEqual" allowBlank="1" showDropDown="1" showInputMessage="0" showErrorMessage="1" error="Skor tidak boleh melebihi skor maksimum!" sqref="E456">
      <formula1>D456</formula1>
    </dataValidation>
    <dataValidation type="decimal" errorStyle="stop" operator="lessThanOrEqual" allowBlank="1" showDropDown="1" showInputMessage="0" showErrorMessage="1" error="Skor tidak boleh melebihi skor maksimum!" sqref="H456">
      <formula1>G456</formula1>
    </dataValidation>
    <dataValidation type="decimal" errorStyle="stop" operator="lessThanOrEqual" allowBlank="1" showDropDown="1" showInputMessage="0" showErrorMessage="1" error="Skor tidak boleh melebihi skor maksimum!" sqref="K456">
      <formula1>J456</formula1>
    </dataValidation>
    <dataValidation type="decimal" errorStyle="stop" operator="lessThanOrEqual" allowBlank="1" showDropDown="1" showInputMessage="0" showErrorMessage="1" error="Skor tidak boleh melebihi skor maksimum!" sqref="N456">
      <formula1>M456</formula1>
    </dataValidation>
    <dataValidation type="decimal" errorStyle="stop" operator="lessThanOrEqual" allowBlank="1" showDropDown="1" showInputMessage="0" showErrorMessage="1" error="Skor tidak boleh melebihi skor maksimum!" sqref="Q456">
      <formula1>P456</formula1>
    </dataValidation>
    <dataValidation type="decimal" errorStyle="stop" operator="lessThanOrEqual" allowBlank="1" showDropDown="1" showInputMessage="0" showErrorMessage="1" error="Skor tidak boleh melebihi skor maksimum!" sqref="E457">
      <formula1>D457</formula1>
    </dataValidation>
    <dataValidation type="decimal" errorStyle="stop" operator="lessThanOrEqual" allowBlank="1" showDropDown="1" showInputMessage="0" showErrorMessage="1" error="Skor tidak boleh melebihi skor maksimum!" sqref="H457">
      <formula1>G457</formula1>
    </dataValidation>
    <dataValidation type="decimal" errorStyle="stop" operator="lessThanOrEqual" allowBlank="1" showDropDown="1" showInputMessage="0" showErrorMessage="1" error="Skor tidak boleh melebihi skor maksimum!" sqref="K457">
      <formula1>J457</formula1>
    </dataValidation>
    <dataValidation type="decimal" errorStyle="stop" operator="lessThanOrEqual" allowBlank="1" showDropDown="1" showInputMessage="0" showErrorMessage="1" error="Skor tidak boleh melebihi skor maksimum!" sqref="N457">
      <formula1>M457</formula1>
    </dataValidation>
    <dataValidation type="decimal" errorStyle="stop" operator="lessThanOrEqual" allowBlank="1" showDropDown="1" showInputMessage="0" showErrorMessage="1" error="Skor tidak boleh melebihi skor maksimum!" sqref="Q457">
      <formula1>P457</formula1>
    </dataValidation>
    <dataValidation type="decimal" errorStyle="stop" operator="lessThanOrEqual" allowBlank="1" showDropDown="1" showInputMessage="0" showErrorMessage="1" error="Skor tidak boleh melebihi skor maksimum!" sqref="E458">
      <formula1>D458</formula1>
    </dataValidation>
    <dataValidation type="decimal" errorStyle="stop" operator="lessThanOrEqual" allowBlank="1" showDropDown="1" showInputMessage="0" showErrorMessage="1" error="Skor tidak boleh melebihi skor maksimum!" sqref="H458">
      <formula1>G458</formula1>
    </dataValidation>
    <dataValidation type="decimal" errorStyle="stop" operator="lessThanOrEqual" allowBlank="1" showDropDown="1" showInputMessage="0" showErrorMessage="1" error="Skor tidak boleh melebihi skor maksimum!" sqref="K458">
      <formula1>J458</formula1>
    </dataValidation>
    <dataValidation type="decimal" errorStyle="stop" operator="lessThanOrEqual" allowBlank="1" showDropDown="1" showInputMessage="0" showErrorMessage="1" error="Skor tidak boleh melebihi skor maksimum!" sqref="N458">
      <formula1>M458</formula1>
    </dataValidation>
    <dataValidation type="decimal" errorStyle="stop" operator="lessThanOrEqual" allowBlank="1" showDropDown="1" showInputMessage="0" showErrorMessage="1" error="Skor tidak boleh melebihi skor maksimum!" sqref="Q458">
      <formula1>P458</formula1>
    </dataValidation>
    <dataValidation type="decimal" errorStyle="stop" operator="lessThanOrEqual" allowBlank="1" showDropDown="1" showInputMessage="0" showErrorMessage="1" error="Skor tidak boleh melebihi skor maksimum!" sqref="E459">
      <formula1>D459</formula1>
    </dataValidation>
    <dataValidation type="decimal" errorStyle="stop" operator="lessThanOrEqual" allowBlank="1" showDropDown="1" showInputMessage="0" showErrorMessage="1" error="Skor tidak boleh melebihi skor maksimum!" sqref="H459">
      <formula1>G459</formula1>
    </dataValidation>
    <dataValidation type="decimal" errorStyle="stop" operator="lessThanOrEqual" allowBlank="1" showDropDown="1" showInputMessage="0" showErrorMessage="1" error="Skor tidak boleh melebihi skor maksimum!" sqref="K459">
      <formula1>J459</formula1>
    </dataValidation>
    <dataValidation type="decimal" errorStyle="stop" operator="lessThanOrEqual" allowBlank="1" showDropDown="1" showInputMessage="0" showErrorMessage="1" error="Skor tidak boleh melebihi skor maksimum!" sqref="N459">
      <formula1>M459</formula1>
    </dataValidation>
    <dataValidation type="decimal" errorStyle="stop" operator="lessThanOrEqual" allowBlank="1" showDropDown="1" showInputMessage="0" showErrorMessage="1" error="Skor tidak boleh melebihi skor maksimum!" sqref="Q459">
      <formula1>P459</formula1>
    </dataValidation>
    <dataValidation type="decimal" errorStyle="stop" operator="lessThanOrEqual" allowBlank="1" showDropDown="1" showInputMessage="0" showErrorMessage="1" error="Skor tidak boleh melebihi skor maksimum!" sqref="E460">
      <formula1>D460</formula1>
    </dataValidation>
    <dataValidation type="decimal" errorStyle="stop" operator="lessThanOrEqual" allowBlank="1" showDropDown="1" showInputMessage="0" showErrorMessage="1" error="Skor tidak boleh melebihi skor maksimum!" sqref="H460">
      <formula1>G460</formula1>
    </dataValidation>
    <dataValidation type="decimal" errorStyle="stop" operator="lessThanOrEqual" allowBlank="1" showDropDown="1" showInputMessage="0" showErrorMessage="1" error="Skor tidak boleh melebihi skor maksimum!" sqref="K460">
      <formula1>J460</formula1>
    </dataValidation>
    <dataValidation type="decimal" errorStyle="stop" operator="lessThanOrEqual" allowBlank="1" showDropDown="1" showInputMessage="0" showErrorMessage="1" error="Skor tidak boleh melebihi skor maksimum!" sqref="N460">
      <formula1>M460</formula1>
    </dataValidation>
    <dataValidation type="decimal" errorStyle="stop" operator="lessThanOrEqual" allowBlank="1" showDropDown="1" showInputMessage="0" showErrorMessage="1" error="Skor tidak boleh melebihi skor maksimum!" sqref="Q460">
      <formula1>P460</formula1>
    </dataValidation>
    <dataValidation type="decimal" errorStyle="stop" operator="lessThanOrEqual" allowBlank="1" showDropDown="1" showInputMessage="0" showErrorMessage="1" error="Skor tidak boleh melebihi skor maksimum!" sqref="E461">
      <formula1>D461</formula1>
    </dataValidation>
    <dataValidation type="decimal" errorStyle="stop" operator="lessThanOrEqual" allowBlank="1" showDropDown="1" showInputMessage="0" showErrorMessage="1" error="Skor tidak boleh melebihi skor maksimum!" sqref="H461">
      <formula1>G461</formula1>
    </dataValidation>
    <dataValidation type="decimal" errorStyle="stop" operator="lessThanOrEqual" allowBlank="1" showDropDown="1" showInputMessage="0" showErrorMessage="1" error="Skor tidak boleh melebihi skor maksimum!" sqref="K461">
      <formula1>J461</formula1>
    </dataValidation>
    <dataValidation type="decimal" errorStyle="stop" operator="lessThanOrEqual" allowBlank="1" showDropDown="1" showInputMessage="0" showErrorMessage="1" error="Skor tidak boleh melebihi skor maksimum!" sqref="N461">
      <formula1>M461</formula1>
    </dataValidation>
    <dataValidation type="decimal" errorStyle="stop" operator="lessThanOrEqual" allowBlank="1" showDropDown="1" showInputMessage="0" showErrorMessage="1" error="Skor tidak boleh melebihi skor maksimum!" sqref="Q461">
      <formula1>P461</formula1>
    </dataValidation>
    <dataValidation type="decimal" errorStyle="stop" operator="lessThanOrEqual" allowBlank="1" showDropDown="1" showInputMessage="0" showErrorMessage="1" error="Skor tidak boleh melebihi skor maksimum!" sqref="E462">
      <formula1>D462</formula1>
    </dataValidation>
    <dataValidation type="decimal" errorStyle="stop" operator="lessThanOrEqual" allowBlank="1" showDropDown="1" showInputMessage="0" showErrorMessage="1" error="Skor tidak boleh melebihi skor maksimum!" sqref="H462">
      <formula1>G462</formula1>
    </dataValidation>
    <dataValidation type="decimal" errorStyle="stop" operator="lessThanOrEqual" allowBlank="1" showDropDown="1" showInputMessage="0" showErrorMessage="1" error="Skor tidak boleh melebihi skor maksimum!" sqref="K462">
      <formula1>J462</formula1>
    </dataValidation>
    <dataValidation type="decimal" errorStyle="stop" operator="lessThanOrEqual" allowBlank="1" showDropDown="1" showInputMessage="0" showErrorMessage="1" error="Skor tidak boleh melebihi skor maksimum!" sqref="N462">
      <formula1>M462</formula1>
    </dataValidation>
    <dataValidation type="decimal" errorStyle="stop" operator="lessThanOrEqual" allowBlank="1" showDropDown="1" showInputMessage="0" showErrorMessage="1" error="Skor tidak boleh melebihi skor maksimum!" sqref="Q462">
      <formula1>P462</formula1>
    </dataValidation>
    <dataValidation type="decimal" errorStyle="stop" operator="lessThanOrEqual" allowBlank="1" showDropDown="1" showInputMessage="0" showErrorMessage="1" error="Skor tidak boleh melebihi skor maksimum!" sqref="E463">
      <formula1>D463</formula1>
    </dataValidation>
    <dataValidation type="decimal" errorStyle="stop" operator="lessThanOrEqual" allowBlank="1" showDropDown="1" showInputMessage="0" showErrorMessage="1" error="Skor tidak boleh melebihi skor maksimum!" sqref="H463">
      <formula1>G463</formula1>
    </dataValidation>
    <dataValidation type="decimal" errorStyle="stop" operator="lessThanOrEqual" allowBlank="1" showDropDown="1" showInputMessage="0" showErrorMessage="1" error="Skor tidak boleh melebihi skor maksimum!" sqref="K463">
      <formula1>J463</formula1>
    </dataValidation>
    <dataValidation type="decimal" errorStyle="stop" operator="lessThanOrEqual" allowBlank="1" showDropDown="1" showInputMessage="0" showErrorMessage="1" error="Skor tidak boleh melebihi skor maksimum!" sqref="N463">
      <formula1>M463</formula1>
    </dataValidation>
    <dataValidation type="decimal" errorStyle="stop" operator="lessThanOrEqual" allowBlank="1" showDropDown="1" showInputMessage="0" showErrorMessage="1" error="Skor tidak boleh melebihi skor maksimum!" sqref="Q463">
      <formula1>P463</formula1>
    </dataValidation>
    <dataValidation type="decimal" errorStyle="stop" operator="lessThanOrEqual" allowBlank="1" showDropDown="1" showInputMessage="0" showErrorMessage="1" error="Skor tidak boleh melebihi skor maksimum!" sqref="E464">
      <formula1>D464</formula1>
    </dataValidation>
    <dataValidation type="decimal" errorStyle="stop" operator="lessThanOrEqual" allowBlank="1" showDropDown="1" showInputMessage="0" showErrorMessage="1" error="Skor tidak boleh melebihi skor maksimum!" sqref="H464">
      <formula1>G464</formula1>
    </dataValidation>
    <dataValidation type="decimal" errorStyle="stop" operator="lessThanOrEqual" allowBlank="1" showDropDown="1" showInputMessage="0" showErrorMessage="1" error="Skor tidak boleh melebihi skor maksimum!" sqref="K464">
      <formula1>J464</formula1>
    </dataValidation>
    <dataValidation type="decimal" errorStyle="stop" operator="lessThanOrEqual" allowBlank="1" showDropDown="1" showInputMessage="0" showErrorMessage="1" error="Skor tidak boleh melebihi skor maksimum!" sqref="N464">
      <formula1>M464</formula1>
    </dataValidation>
    <dataValidation type="decimal" errorStyle="stop" operator="lessThanOrEqual" allowBlank="1" showDropDown="1" showInputMessage="0" showErrorMessage="1" error="Skor tidak boleh melebihi skor maksimum!" sqref="Q464">
      <formula1>P464</formula1>
    </dataValidation>
    <dataValidation type="decimal" errorStyle="stop" operator="lessThanOrEqual" allowBlank="1" showDropDown="1" showInputMessage="0" showErrorMessage="1" error="Skor tidak boleh melebihi skor maksimum!" sqref="E465">
      <formula1>D465</formula1>
    </dataValidation>
    <dataValidation type="decimal" errorStyle="stop" operator="lessThanOrEqual" allowBlank="1" showDropDown="1" showInputMessage="0" showErrorMessage="1" error="Skor tidak boleh melebihi skor maksimum!" sqref="H465">
      <formula1>G465</formula1>
    </dataValidation>
    <dataValidation type="decimal" errorStyle="stop" operator="lessThanOrEqual" allowBlank="1" showDropDown="1" showInputMessage="0" showErrorMessage="1" error="Skor tidak boleh melebihi skor maksimum!" sqref="K465">
      <formula1>J465</formula1>
    </dataValidation>
    <dataValidation type="decimal" errorStyle="stop" operator="lessThanOrEqual" allowBlank="1" showDropDown="1" showInputMessage="0" showErrorMessage="1" error="Skor tidak boleh melebihi skor maksimum!" sqref="N465">
      <formula1>M465</formula1>
    </dataValidation>
    <dataValidation type="decimal" errorStyle="stop" operator="lessThanOrEqual" allowBlank="1" showDropDown="1" showInputMessage="0" showErrorMessage="1" error="Skor tidak boleh melebihi skor maksimum!" sqref="Q465">
      <formula1>P465</formula1>
    </dataValidation>
    <dataValidation type="decimal" errorStyle="stop" operator="lessThanOrEqual" allowBlank="1" showDropDown="1" showInputMessage="0" showErrorMessage="1" error="Skor tidak boleh melebihi skor maksimum!" sqref="E466">
      <formula1>D466</formula1>
    </dataValidation>
    <dataValidation type="decimal" errorStyle="stop" operator="lessThanOrEqual" allowBlank="1" showDropDown="1" showInputMessage="0" showErrorMessage="1" error="Skor tidak boleh melebihi skor maksimum!" sqref="H466">
      <formula1>G466</formula1>
    </dataValidation>
    <dataValidation type="decimal" errorStyle="stop" operator="lessThanOrEqual" allowBlank="1" showDropDown="1" showInputMessage="0" showErrorMessage="1" error="Skor tidak boleh melebihi skor maksimum!" sqref="K466">
      <formula1>J466</formula1>
    </dataValidation>
    <dataValidation type="decimal" errorStyle="stop" operator="lessThanOrEqual" allowBlank="1" showDropDown="1" showInputMessage="0" showErrorMessage="1" error="Skor tidak boleh melebihi skor maksimum!" sqref="N466">
      <formula1>M466</formula1>
    </dataValidation>
    <dataValidation type="decimal" errorStyle="stop" operator="lessThanOrEqual" allowBlank="1" showDropDown="1" showInputMessage="0" showErrorMessage="1" error="Skor tidak boleh melebihi skor maksimum!" sqref="Q466">
      <formula1>P466</formula1>
    </dataValidation>
    <dataValidation type="decimal" errorStyle="stop" operator="lessThanOrEqual" allowBlank="1" showDropDown="1" showInputMessage="0" showErrorMessage="1" error="Skor tidak boleh melebihi skor maksimum!" sqref="E467">
      <formula1>D467</formula1>
    </dataValidation>
    <dataValidation type="decimal" errorStyle="stop" operator="lessThanOrEqual" allowBlank="1" showDropDown="1" showInputMessage="0" showErrorMessage="1" error="Skor tidak boleh melebihi skor maksimum!" sqref="H467">
      <formula1>G467</formula1>
    </dataValidation>
    <dataValidation type="decimal" errorStyle="stop" operator="lessThanOrEqual" allowBlank="1" showDropDown="1" showInputMessage="0" showErrorMessage="1" error="Skor tidak boleh melebihi skor maksimum!" sqref="K467">
      <formula1>J467</formula1>
    </dataValidation>
    <dataValidation type="decimal" errorStyle="stop" operator="lessThanOrEqual" allowBlank="1" showDropDown="1" showInputMessage="0" showErrorMessage="1" error="Skor tidak boleh melebihi skor maksimum!" sqref="N467">
      <formula1>M467</formula1>
    </dataValidation>
    <dataValidation type="decimal" errorStyle="stop" operator="lessThanOrEqual" allowBlank="1" showDropDown="1" showInputMessage="0" showErrorMessage="1" error="Skor tidak boleh melebihi skor maksimum!" sqref="Q467">
      <formula1>P467</formula1>
    </dataValidation>
    <dataValidation type="decimal" errorStyle="stop" operator="lessThanOrEqual" allowBlank="1" showDropDown="1" showInputMessage="0" showErrorMessage="1" error="Skor tidak boleh melebihi skor maksimum!" sqref="E468">
      <formula1>D468</formula1>
    </dataValidation>
    <dataValidation type="decimal" errorStyle="stop" operator="lessThanOrEqual" allowBlank="1" showDropDown="1" showInputMessage="0" showErrorMessage="1" error="Skor tidak boleh melebihi skor maksimum!" sqref="H468">
      <formula1>G468</formula1>
    </dataValidation>
    <dataValidation type="decimal" errorStyle="stop" operator="lessThanOrEqual" allowBlank="1" showDropDown="1" showInputMessage="0" showErrorMessage="1" error="Skor tidak boleh melebihi skor maksimum!" sqref="K468">
      <formula1>J468</formula1>
    </dataValidation>
    <dataValidation type="decimal" errorStyle="stop" operator="lessThanOrEqual" allowBlank="1" showDropDown="1" showInputMessage="0" showErrorMessage="1" error="Skor tidak boleh melebihi skor maksimum!" sqref="N468">
      <formula1>M468</formula1>
    </dataValidation>
    <dataValidation type="decimal" errorStyle="stop" operator="lessThanOrEqual" allowBlank="1" showDropDown="1" showInputMessage="0" showErrorMessage="1" error="Skor tidak boleh melebihi skor maksimum!" sqref="Q468">
      <formula1>P468</formula1>
    </dataValidation>
    <dataValidation type="decimal" errorStyle="stop" operator="lessThanOrEqual" allowBlank="1" showDropDown="1" showInputMessage="0" showErrorMessage="1" error="Skor tidak boleh melebihi skor maksimum!" sqref="E469">
      <formula1>D469</formula1>
    </dataValidation>
    <dataValidation type="decimal" errorStyle="stop" operator="lessThanOrEqual" allowBlank="1" showDropDown="1" showInputMessage="0" showErrorMessage="1" error="Skor tidak boleh melebihi skor maksimum!" sqref="H469">
      <formula1>G469</formula1>
    </dataValidation>
    <dataValidation type="decimal" errorStyle="stop" operator="lessThanOrEqual" allowBlank="1" showDropDown="1" showInputMessage="0" showErrorMessage="1" error="Skor tidak boleh melebihi skor maksimum!" sqref="K469">
      <formula1>J469</formula1>
    </dataValidation>
    <dataValidation type="decimal" errorStyle="stop" operator="lessThanOrEqual" allowBlank="1" showDropDown="1" showInputMessage="0" showErrorMessage="1" error="Skor tidak boleh melebihi skor maksimum!" sqref="N469">
      <formula1>M469</formula1>
    </dataValidation>
    <dataValidation type="decimal" errorStyle="stop" operator="lessThanOrEqual" allowBlank="1" showDropDown="1" showInputMessage="0" showErrorMessage="1" error="Skor tidak boleh melebihi skor maksimum!" sqref="Q469">
      <formula1>P469</formula1>
    </dataValidation>
    <dataValidation type="decimal" errorStyle="stop" operator="lessThanOrEqual" allowBlank="1" showDropDown="1" showInputMessage="0" showErrorMessage="1" error="Skor tidak boleh melebihi skor maksimum!" sqref="E470">
      <formula1>D470</formula1>
    </dataValidation>
    <dataValidation type="decimal" errorStyle="stop" operator="lessThanOrEqual" allowBlank="1" showDropDown="1" showInputMessage="0" showErrorMessage="1" error="Skor tidak boleh melebihi skor maksimum!" sqref="H470">
      <formula1>G470</formula1>
    </dataValidation>
    <dataValidation type="decimal" errorStyle="stop" operator="lessThanOrEqual" allowBlank="1" showDropDown="1" showInputMessage="0" showErrorMessage="1" error="Skor tidak boleh melebihi skor maksimum!" sqref="K470">
      <formula1>J470</formula1>
    </dataValidation>
    <dataValidation type="decimal" errorStyle="stop" operator="lessThanOrEqual" allowBlank="1" showDropDown="1" showInputMessage="0" showErrorMessage="1" error="Skor tidak boleh melebihi skor maksimum!" sqref="N470">
      <formula1>M470</formula1>
    </dataValidation>
    <dataValidation type="decimal" errorStyle="stop" operator="lessThanOrEqual" allowBlank="1" showDropDown="1" showInputMessage="0" showErrorMessage="1" error="Skor tidak boleh melebihi skor maksimum!" sqref="Q470">
      <formula1>P470</formula1>
    </dataValidation>
    <dataValidation type="decimal" errorStyle="stop" operator="lessThanOrEqual" allowBlank="1" showDropDown="1" showInputMessage="0" showErrorMessage="1" error="Skor tidak boleh melebihi skor maksimum!" sqref="E471">
      <formula1>D471</formula1>
    </dataValidation>
    <dataValidation type="decimal" errorStyle="stop" operator="lessThanOrEqual" allowBlank="1" showDropDown="1" showInputMessage="0" showErrorMessage="1" error="Skor tidak boleh melebihi skor maksimum!" sqref="H471">
      <formula1>G471</formula1>
    </dataValidation>
    <dataValidation type="decimal" errorStyle="stop" operator="lessThanOrEqual" allowBlank="1" showDropDown="1" showInputMessage="0" showErrorMessage="1" error="Skor tidak boleh melebihi skor maksimum!" sqref="K471">
      <formula1>J471</formula1>
    </dataValidation>
    <dataValidation type="decimal" errorStyle="stop" operator="lessThanOrEqual" allowBlank="1" showDropDown="1" showInputMessage="0" showErrorMessage="1" error="Skor tidak boleh melebihi skor maksimum!" sqref="N471">
      <formula1>M471</formula1>
    </dataValidation>
    <dataValidation type="decimal" errorStyle="stop" operator="lessThanOrEqual" allowBlank="1" showDropDown="1" showInputMessage="0" showErrorMessage="1" error="Skor tidak boleh melebihi skor maksimum!" sqref="Q471">
      <formula1>P471</formula1>
    </dataValidation>
    <dataValidation type="decimal" errorStyle="stop" operator="lessThanOrEqual" allowBlank="1" showDropDown="1" showInputMessage="0" showErrorMessage="1" error="Skor tidak boleh melebihi skor maksimum!" sqref="E472">
      <formula1>D472</formula1>
    </dataValidation>
    <dataValidation type="decimal" errorStyle="stop" operator="lessThanOrEqual" allowBlank="1" showDropDown="1" showInputMessage="0" showErrorMessage="1" error="Skor tidak boleh melebihi skor maksimum!" sqref="H472">
      <formula1>G472</formula1>
    </dataValidation>
    <dataValidation type="decimal" errorStyle="stop" operator="lessThanOrEqual" allowBlank="1" showDropDown="1" showInputMessage="0" showErrorMessage="1" error="Skor tidak boleh melebihi skor maksimum!" sqref="K472">
      <formula1>J472</formula1>
    </dataValidation>
    <dataValidation type="decimal" errorStyle="stop" operator="lessThanOrEqual" allowBlank="1" showDropDown="1" showInputMessage="0" showErrorMessage="1" error="Skor tidak boleh melebihi skor maksimum!" sqref="N472">
      <formula1>M472</formula1>
    </dataValidation>
    <dataValidation type="decimal" errorStyle="stop" operator="lessThanOrEqual" allowBlank="1" showDropDown="1" showInputMessage="0" showErrorMessage="1" error="Skor tidak boleh melebihi skor maksimum!" sqref="Q472">
      <formula1>P472</formula1>
    </dataValidation>
    <dataValidation type="decimal" errorStyle="stop" operator="lessThanOrEqual" allowBlank="1" showDropDown="1" showInputMessage="0" showErrorMessage="1" error="Skor tidak boleh melebihi skor maksimum!" sqref="E473">
      <formula1>D473</formula1>
    </dataValidation>
    <dataValidation type="decimal" errorStyle="stop" operator="lessThanOrEqual" allowBlank="1" showDropDown="1" showInputMessage="0" showErrorMessage="1" error="Skor tidak boleh melebihi skor maksimum!" sqref="H473">
      <formula1>G473</formula1>
    </dataValidation>
    <dataValidation type="decimal" errorStyle="stop" operator="lessThanOrEqual" allowBlank="1" showDropDown="1" showInputMessage="0" showErrorMessage="1" error="Skor tidak boleh melebihi skor maksimum!" sqref="K473">
      <formula1>J473</formula1>
    </dataValidation>
    <dataValidation type="decimal" errorStyle="stop" operator="lessThanOrEqual" allowBlank="1" showDropDown="1" showInputMessage="0" showErrorMessage="1" error="Skor tidak boleh melebihi skor maksimum!" sqref="N473">
      <formula1>M473</formula1>
    </dataValidation>
    <dataValidation type="decimal" errorStyle="stop" operator="lessThanOrEqual" allowBlank="1" showDropDown="1" showInputMessage="0" showErrorMessage="1" error="Skor tidak boleh melebihi skor maksimum!" sqref="Q473">
      <formula1>P473</formula1>
    </dataValidation>
    <dataValidation type="decimal" errorStyle="stop" operator="lessThanOrEqual" allowBlank="1" showDropDown="1" showInputMessage="0" showErrorMessage="1" error="Skor tidak boleh melebihi skor maksimum!" sqref="E474">
      <formula1>D474</formula1>
    </dataValidation>
    <dataValidation type="decimal" errorStyle="stop" operator="lessThanOrEqual" allowBlank="1" showDropDown="1" showInputMessage="0" showErrorMessage="1" error="Skor tidak boleh melebihi skor maksimum!" sqref="H474">
      <formula1>G474</formula1>
    </dataValidation>
    <dataValidation type="decimal" errorStyle="stop" operator="lessThanOrEqual" allowBlank="1" showDropDown="1" showInputMessage="0" showErrorMessage="1" error="Skor tidak boleh melebihi skor maksimum!" sqref="K474">
      <formula1>J474</formula1>
    </dataValidation>
    <dataValidation type="decimal" errorStyle="stop" operator="lessThanOrEqual" allowBlank="1" showDropDown="1" showInputMessage="0" showErrorMessage="1" error="Skor tidak boleh melebihi skor maksimum!" sqref="N474">
      <formula1>M474</formula1>
    </dataValidation>
    <dataValidation type="decimal" errorStyle="stop" operator="lessThanOrEqual" allowBlank="1" showDropDown="1" showInputMessage="0" showErrorMessage="1" error="Skor tidak boleh melebihi skor maksimum!" sqref="Q474">
      <formula1>P474</formula1>
    </dataValidation>
    <dataValidation type="decimal" errorStyle="stop" operator="lessThanOrEqual" allowBlank="1" showDropDown="1" showInputMessage="0" showErrorMessage="1" error="Skor tidak boleh melebihi skor maksimum!" sqref="E475">
      <formula1>D475</formula1>
    </dataValidation>
    <dataValidation type="decimal" errorStyle="stop" operator="lessThanOrEqual" allowBlank="1" showDropDown="1" showInputMessage="0" showErrorMessage="1" error="Skor tidak boleh melebihi skor maksimum!" sqref="H475">
      <formula1>G475</formula1>
    </dataValidation>
    <dataValidation type="decimal" errorStyle="stop" operator="lessThanOrEqual" allowBlank="1" showDropDown="1" showInputMessage="0" showErrorMessage="1" error="Skor tidak boleh melebihi skor maksimum!" sqref="K475">
      <formula1>J475</formula1>
    </dataValidation>
    <dataValidation type="decimal" errorStyle="stop" operator="lessThanOrEqual" allowBlank="1" showDropDown="1" showInputMessage="0" showErrorMessage="1" error="Skor tidak boleh melebihi skor maksimum!" sqref="N475">
      <formula1>M475</formula1>
    </dataValidation>
    <dataValidation type="decimal" errorStyle="stop" operator="lessThanOrEqual" allowBlank="1" showDropDown="1" showInputMessage="0" showErrorMessage="1" error="Skor tidak boleh melebihi skor maksimum!" sqref="Q475">
      <formula1>P475</formula1>
    </dataValidation>
    <dataValidation type="decimal" errorStyle="stop" operator="lessThanOrEqual" allowBlank="1" showDropDown="1" showInputMessage="0" showErrorMessage="1" error="Skor tidak boleh melebihi skor maksimum!" sqref="E476">
      <formula1>D476</formula1>
    </dataValidation>
    <dataValidation type="decimal" errorStyle="stop" operator="lessThanOrEqual" allowBlank="1" showDropDown="1" showInputMessage="0" showErrorMessage="1" error="Skor tidak boleh melebihi skor maksimum!" sqref="H476">
      <formula1>G476</formula1>
    </dataValidation>
    <dataValidation type="decimal" errorStyle="stop" operator="lessThanOrEqual" allowBlank="1" showDropDown="1" showInputMessage="0" showErrorMessage="1" error="Skor tidak boleh melebihi skor maksimum!" sqref="K476">
      <formula1>J476</formula1>
    </dataValidation>
    <dataValidation type="decimal" errorStyle="stop" operator="lessThanOrEqual" allowBlank="1" showDropDown="1" showInputMessage="0" showErrorMessage="1" error="Skor tidak boleh melebihi skor maksimum!" sqref="N476">
      <formula1>M476</formula1>
    </dataValidation>
    <dataValidation type="decimal" errorStyle="stop" operator="lessThanOrEqual" allowBlank="1" showDropDown="1" showInputMessage="0" showErrorMessage="1" error="Skor tidak boleh melebihi skor maksimum!" sqref="Q476">
      <formula1>P476</formula1>
    </dataValidation>
    <dataValidation type="decimal" errorStyle="stop" operator="lessThanOrEqual" allowBlank="1" showDropDown="1" showInputMessage="0" showErrorMessage="1" error="Skor tidak boleh melebihi skor maksimum!" sqref="E477">
      <formula1>D477</formula1>
    </dataValidation>
    <dataValidation type="decimal" errorStyle="stop" operator="lessThanOrEqual" allowBlank="1" showDropDown="1" showInputMessage="0" showErrorMessage="1" error="Skor tidak boleh melebihi skor maksimum!" sqref="H477">
      <formula1>G477</formula1>
    </dataValidation>
    <dataValidation type="decimal" errorStyle="stop" operator="lessThanOrEqual" allowBlank="1" showDropDown="1" showInputMessage="0" showErrorMessage="1" error="Skor tidak boleh melebihi skor maksimum!" sqref="K477">
      <formula1>J477</formula1>
    </dataValidation>
    <dataValidation type="decimal" errorStyle="stop" operator="lessThanOrEqual" allowBlank="1" showDropDown="1" showInputMessage="0" showErrorMessage="1" error="Skor tidak boleh melebihi skor maksimum!" sqref="N477">
      <formula1>M477</formula1>
    </dataValidation>
    <dataValidation type="decimal" errorStyle="stop" operator="lessThanOrEqual" allowBlank="1" showDropDown="1" showInputMessage="0" showErrorMessage="1" error="Skor tidak boleh melebihi skor maksimum!" sqref="Q477">
      <formula1>P477</formula1>
    </dataValidation>
    <dataValidation type="decimal" errorStyle="stop" operator="lessThanOrEqual" allowBlank="1" showDropDown="1" showInputMessage="0" showErrorMessage="1" error="Skor tidak boleh melebihi skor maksimum!" sqref="E478">
      <formula1>D478</formula1>
    </dataValidation>
    <dataValidation type="decimal" errorStyle="stop" operator="lessThanOrEqual" allowBlank="1" showDropDown="1" showInputMessage="0" showErrorMessage="1" error="Skor tidak boleh melebihi skor maksimum!" sqref="H478">
      <formula1>G478</formula1>
    </dataValidation>
    <dataValidation type="decimal" errorStyle="stop" operator="lessThanOrEqual" allowBlank="1" showDropDown="1" showInputMessage="0" showErrorMessage="1" error="Skor tidak boleh melebihi skor maksimum!" sqref="K478">
      <formula1>J478</formula1>
    </dataValidation>
    <dataValidation type="decimal" errorStyle="stop" operator="lessThanOrEqual" allowBlank="1" showDropDown="1" showInputMessage="0" showErrorMessage="1" error="Skor tidak boleh melebihi skor maksimum!" sqref="N478">
      <formula1>M478</formula1>
    </dataValidation>
    <dataValidation type="decimal" errorStyle="stop" operator="lessThanOrEqual" allowBlank="1" showDropDown="1" showInputMessage="0" showErrorMessage="1" error="Skor tidak boleh melebihi skor maksimum!" sqref="Q478">
      <formula1>P478</formula1>
    </dataValidation>
    <dataValidation type="decimal" errorStyle="stop" operator="lessThanOrEqual" allowBlank="1" showDropDown="1" showInputMessage="0" showErrorMessage="1" error="Skor tidak boleh melebihi skor maksimum!" sqref="E479">
      <formula1>D479</formula1>
    </dataValidation>
    <dataValidation type="decimal" errorStyle="stop" operator="lessThanOrEqual" allowBlank="1" showDropDown="1" showInputMessage="0" showErrorMessage="1" error="Skor tidak boleh melebihi skor maksimum!" sqref="H479">
      <formula1>G479</formula1>
    </dataValidation>
    <dataValidation type="decimal" errorStyle="stop" operator="lessThanOrEqual" allowBlank="1" showDropDown="1" showInputMessage="0" showErrorMessage="1" error="Skor tidak boleh melebihi skor maksimum!" sqref="K479">
      <formula1>J479</formula1>
    </dataValidation>
    <dataValidation type="decimal" errorStyle="stop" operator="lessThanOrEqual" allowBlank="1" showDropDown="1" showInputMessage="0" showErrorMessage="1" error="Skor tidak boleh melebihi skor maksimum!" sqref="N479">
      <formula1>M479</formula1>
    </dataValidation>
    <dataValidation type="decimal" errorStyle="stop" operator="lessThanOrEqual" allowBlank="1" showDropDown="1" showInputMessage="0" showErrorMessage="1" error="Skor tidak boleh melebihi skor maksimum!" sqref="Q479">
      <formula1>P479</formula1>
    </dataValidation>
    <dataValidation type="decimal" errorStyle="stop" operator="lessThanOrEqual" allowBlank="1" showDropDown="1" showInputMessage="0" showErrorMessage="1" error="Skor tidak boleh melebihi skor maksimum!" sqref="E480">
      <formula1>D480</formula1>
    </dataValidation>
    <dataValidation type="decimal" errorStyle="stop" operator="lessThanOrEqual" allowBlank="1" showDropDown="1" showInputMessage="0" showErrorMessage="1" error="Skor tidak boleh melebihi skor maksimum!" sqref="H480">
      <formula1>G480</formula1>
    </dataValidation>
    <dataValidation type="decimal" errorStyle="stop" operator="lessThanOrEqual" allowBlank="1" showDropDown="1" showInputMessage="0" showErrorMessage="1" error="Skor tidak boleh melebihi skor maksimum!" sqref="K480">
      <formula1>J480</formula1>
    </dataValidation>
    <dataValidation type="decimal" errorStyle="stop" operator="lessThanOrEqual" allowBlank="1" showDropDown="1" showInputMessage="0" showErrorMessage="1" error="Skor tidak boleh melebihi skor maksimum!" sqref="N480">
      <formula1>M480</formula1>
    </dataValidation>
    <dataValidation type="decimal" errorStyle="stop" operator="lessThanOrEqual" allowBlank="1" showDropDown="1" showInputMessage="0" showErrorMessage="1" error="Skor tidak boleh melebihi skor maksimum!" sqref="Q480">
      <formula1>P480</formula1>
    </dataValidation>
    <dataValidation type="decimal" errorStyle="stop" operator="lessThanOrEqual" allowBlank="1" showDropDown="1" showInputMessage="0" showErrorMessage="1" error="Skor tidak boleh melebihi skor maksimum!" sqref="E481">
      <formula1>D481</formula1>
    </dataValidation>
    <dataValidation type="decimal" errorStyle="stop" operator="lessThanOrEqual" allowBlank="1" showDropDown="1" showInputMessage="0" showErrorMessage="1" error="Skor tidak boleh melebihi skor maksimum!" sqref="H481">
      <formula1>G481</formula1>
    </dataValidation>
    <dataValidation type="decimal" errorStyle="stop" operator="lessThanOrEqual" allowBlank="1" showDropDown="1" showInputMessage="0" showErrorMessage="1" error="Skor tidak boleh melebihi skor maksimum!" sqref="K481">
      <formula1>J481</formula1>
    </dataValidation>
    <dataValidation type="decimal" errorStyle="stop" operator="lessThanOrEqual" allowBlank="1" showDropDown="1" showInputMessage="0" showErrorMessage="1" error="Skor tidak boleh melebihi skor maksimum!" sqref="N481">
      <formula1>M481</formula1>
    </dataValidation>
    <dataValidation type="decimal" errorStyle="stop" operator="lessThanOrEqual" allowBlank="1" showDropDown="1" showInputMessage="0" showErrorMessage="1" error="Skor tidak boleh melebihi skor maksimum!" sqref="Q481">
      <formula1>P481</formula1>
    </dataValidation>
    <dataValidation type="decimal" errorStyle="stop" operator="lessThanOrEqual" allowBlank="1" showDropDown="1" showInputMessage="0" showErrorMessage="1" error="Skor tidak boleh melebihi skor maksimum!" sqref="E482">
      <formula1>D482</formula1>
    </dataValidation>
    <dataValidation type="decimal" errorStyle="stop" operator="lessThanOrEqual" allowBlank="1" showDropDown="1" showInputMessage="0" showErrorMessage="1" error="Skor tidak boleh melebihi skor maksimum!" sqref="H482">
      <formula1>G482</formula1>
    </dataValidation>
    <dataValidation type="decimal" errorStyle="stop" operator="lessThanOrEqual" allowBlank="1" showDropDown="1" showInputMessage="0" showErrorMessage="1" error="Skor tidak boleh melebihi skor maksimum!" sqref="K482">
      <formula1>J482</formula1>
    </dataValidation>
    <dataValidation type="decimal" errorStyle="stop" operator="lessThanOrEqual" allowBlank="1" showDropDown="1" showInputMessage="0" showErrorMessage="1" error="Skor tidak boleh melebihi skor maksimum!" sqref="N482">
      <formula1>M482</formula1>
    </dataValidation>
    <dataValidation type="decimal" errorStyle="stop" operator="lessThanOrEqual" allowBlank="1" showDropDown="1" showInputMessage="0" showErrorMessage="1" error="Skor tidak boleh melebihi skor maksimum!" sqref="Q482">
      <formula1>P482</formula1>
    </dataValidation>
    <dataValidation type="decimal" errorStyle="stop" operator="lessThanOrEqual" allowBlank="1" showDropDown="1" showInputMessage="0" showErrorMessage="1" error="Skor tidak boleh melebihi skor maksimum!" sqref="E483">
      <formula1>D483</formula1>
    </dataValidation>
    <dataValidation type="decimal" errorStyle="stop" operator="lessThanOrEqual" allowBlank="1" showDropDown="1" showInputMessage="0" showErrorMessage="1" error="Skor tidak boleh melebihi skor maksimum!" sqref="H483">
      <formula1>G483</formula1>
    </dataValidation>
    <dataValidation type="decimal" errorStyle="stop" operator="lessThanOrEqual" allowBlank="1" showDropDown="1" showInputMessage="0" showErrorMessage="1" error="Skor tidak boleh melebihi skor maksimum!" sqref="K483">
      <formula1>J483</formula1>
    </dataValidation>
    <dataValidation type="decimal" errorStyle="stop" operator="lessThanOrEqual" allowBlank="1" showDropDown="1" showInputMessage="0" showErrorMessage="1" error="Skor tidak boleh melebihi skor maksimum!" sqref="N483">
      <formula1>M483</formula1>
    </dataValidation>
    <dataValidation type="decimal" errorStyle="stop" operator="lessThanOrEqual" allowBlank="1" showDropDown="1" showInputMessage="0" showErrorMessage="1" error="Skor tidak boleh melebihi skor maksimum!" sqref="Q483">
      <formula1>P483</formula1>
    </dataValidation>
    <dataValidation type="decimal" errorStyle="stop" operator="lessThanOrEqual" allowBlank="1" showDropDown="1" showInputMessage="0" showErrorMessage="1" error="Skor tidak boleh melebihi skor maksimum!" sqref="E484">
      <formula1>D484</formula1>
    </dataValidation>
    <dataValidation type="decimal" errorStyle="stop" operator="lessThanOrEqual" allowBlank="1" showDropDown="1" showInputMessage="0" showErrorMessage="1" error="Skor tidak boleh melebihi skor maksimum!" sqref="H484">
      <formula1>G484</formula1>
    </dataValidation>
    <dataValidation type="decimal" errorStyle="stop" operator="lessThanOrEqual" allowBlank="1" showDropDown="1" showInputMessage="0" showErrorMessage="1" error="Skor tidak boleh melebihi skor maksimum!" sqref="K484">
      <formula1>J484</formula1>
    </dataValidation>
    <dataValidation type="decimal" errorStyle="stop" operator="lessThanOrEqual" allowBlank="1" showDropDown="1" showInputMessage="0" showErrorMessage="1" error="Skor tidak boleh melebihi skor maksimum!" sqref="N484">
      <formula1>M484</formula1>
    </dataValidation>
    <dataValidation type="decimal" errorStyle="stop" operator="lessThanOrEqual" allowBlank="1" showDropDown="1" showInputMessage="0" showErrorMessage="1" error="Skor tidak boleh melebihi skor maksimum!" sqref="Q484">
      <formula1>P484</formula1>
    </dataValidation>
    <dataValidation type="decimal" errorStyle="stop" operator="lessThanOrEqual" allowBlank="1" showDropDown="1" showInputMessage="0" showErrorMessage="1" error="Skor tidak boleh melebihi skor maksimum!" sqref="E485">
      <formula1>D485</formula1>
    </dataValidation>
    <dataValidation type="decimal" errorStyle="stop" operator="lessThanOrEqual" allowBlank="1" showDropDown="1" showInputMessage="0" showErrorMessage="1" error="Skor tidak boleh melebihi skor maksimum!" sqref="H485">
      <formula1>G485</formula1>
    </dataValidation>
    <dataValidation type="decimal" errorStyle="stop" operator="lessThanOrEqual" allowBlank="1" showDropDown="1" showInputMessage="0" showErrorMessage="1" error="Skor tidak boleh melebihi skor maksimum!" sqref="K485">
      <formula1>J485</formula1>
    </dataValidation>
    <dataValidation type="decimal" errorStyle="stop" operator="lessThanOrEqual" allowBlank="1" showDropDown="1" showInputMessage="0" showErrorMessage="1" error="Skor tidak boleh melebihi skor maksimum!" sqref="N485">
      <formula1>M485</formula1>
    </dataValidation>
    <dataValidation type="decimal" errorStyle="stop" operator="lessThanOrEqual" allowBlank="1" showDropDown="1" showInputMessage="0" showErrorMessage="1" error="Skor tidak boleh melebihi skor maksimum!" sqref="Q485">
      <formula1>P485</formula1>
    </dataValidation>
    <dataValidation type="decimal" errorStyle="stop" operator="lessThanOrEqual" allowBlank="1" showDropDown="1" showInputMessage="0" showErrorMessage="1" error="Skor tidak boleh melebihi skor maksimum!" sqref="E486">
      <formula1>D486</formula1>
    </dataValidation>
    <dataValidation type="decimal" errorStyle="stop" operator="lessThanOrEqual" allowBlank="1" showDropDown="1" showInputMessage="0" showErrorMessage="1" error="Skor tidak boleh melebihi skor maksimum!" sqref="H486">
      <formula1>G486</formula1>
    </dataValidation>
    <dataValidation type="decimal" errorStyle="stop" operator="lessThanOrEqual" allowBlank="1" showDropDown="1" showInputMessage="0" showErrorMessage="1" error="Skor tidak boleh melebihi skor maksimum!" sqref="K486">
      <formula1>J486</formula1>
    </dataValidation>
    <dataValidation type="decimal" errorStyle="stop" operator="lessThanOrEqual" allowBlank="1" showDropDown="1" showInputMessage="0" showErrorMessage="1" error="Skor tidak boleh melebihi skor maksimum!" sqref="N486">
      <formula1>M486</formula1>
    </dataValidation>
    <dataValidation type="decimal" errorStyle="stop" operator="lessThanOrEqual" allowBlank="1" showDropDown="1" showInputMessage="0" showErrorMessage="1" error="Skor tidak boleh melebihi skor maksimum!" sqref="Q486">
      <formula1>P486</formula1>
    </dataValidation>
    <dataValidation type="decimal" errorStyle="stop" operator="lessThanOrEqual" allowBlank="1" showDropDown="1" showInputMessage="0" showErrorMessage="1" error="Skor tidak boleh melebihi skor maksimum!" sqref="E487">
      <formula1>D487</formula1>
    </dataValidation>
    <dataValidation type="decimal" errorStyle="stop" operator="lessThanOrEqual" allowBlank="1" showDropDown="1" showInputMessage="0" showErrorMessage="1" error="Skor tidak boleh melebihi skor maksimum!" sqref="H487">
      <formula1>G487</formula1>
    </dataValidation>
    <dataValidation type="decimal" errorStyle="stop" operator="lessThanOrEqual" allowBlank="1" showDropDown="1" showInputMessage="0" showErrorMessage="1" error="Skor tidak boleh melebihi skor maksimum!" sqref="K487">
      <formula1>J487</formula1>
    </dataValidation>
    <dataValidation type="decimal" errorStyle="stop" operator="lessThanOrEqual" allowBlank="1" showDropDown="1" showInputMessage="0" showErrorMessage="1" error="Skor tidak boleh melebihi skor maksimum!" sqref="N487">
      <formula1>M487</formula1>
    </dataValidation>
    <dataValidation type="decimal" errorStyle="stop" operator="lessThanOrEqual" allowBlank="1" showDropDown="1" showInputMessage="0" showErrorMessage="1" error="Skor tidak boleh melebihi skor maksimum!" sqref="Q487">
      <formula1>P487</formula1>
    </dataValidation>
    <dataValidation type="decimal" errorStyle="stop" operator="lessThanOrEqual" allowBlank="1" showDropDown="1" showInputMessage="0" showErrorMessage="1" error="Skor tidak boleh melebihi skor maksimum!" sqref="E488">
      <formula1>D488</formula1>
    </dataValidation>
    <dataValidation type="decimal" errorStyle="stop" operator="lessThanOrEqual" allowBlank="1" showDropDown="1" showInputMessage="0" showErrorMessage="1" error="Skor tidak boleh melebihi skor maksimum!" sqref="H488">
      <formula1>G488</formula1>
    </dataValidation>
    <dataValidation type="decimal" errorStyle="stop" operator="lessThanOrEqual" allowBlank="1" showDropDown="1" showInputMessage="0" showErrorMessage="1" error="Skor tidak boleh melebihi skor maksimum!" sqref="K488">
      <formula1>J488</formula1>
    </dataValidation>
    <dataValidation type="decimal" errorStyle="stop" operator="lessThanOrEqual" allowBlank="1" showDropDown="1" showInputMessage="0" showErrorMessage="1" error="Skor tidak boleh melebihi skor maksimum!" sqref="N488">
      <formula1>M488</formula1>
    </dataValidation>
    <dataValidation type="decimal" errorStyle="stop" operator="lessThanOrEqual" allowBlank="1" showDropDown="1" showInputMessage="0" showErrorMessage="1" error="Skor tidak boleh melebihi skor maksimum!" sqref="Q488">
      <formula1>P488</formula1>
    </dataValidation>
    <dataValidation type="decimal" errorStyle="stop" operator="lessThanOrEqual" allowBlank="1" showDropDown="1" showInputMessage="0" showErrorMessage="1" error="Skor tidak boleh melebihi skor maksimum!" sqref="E489">
      <formula1>D489</formula1>
    </dataValidation>
    <dataValidation type="decimal" errorStyle="stop" operator="lessThanOrEqual" allowBlank="1" showDropDown="1" showInputMessage="0" showErrorMessage="1" error="Skor tidak boleh melebihi skor maksimum!" sqref="H489">
      <formula1>G489</formula1>
    </dataValidation>
    <dataValidation type="decimal" errorStyle="stop" operator="lessThanOrEqual" allowBlank="1" showDropDown="1" showInputMessage="0" showErrorMessage="1" error="Skor tidak boleh melebihi skor maksimum!" sqref="K489">
      <formula1>J489</formula1>
    </dataValidation>
    <dataValidation type="decimal" errorStyle="stop" operator="lessThanOrEqual" allowBlank="1" showDropDown="1" showInputMessage="0" showErrorMessage="1" error="Skor tidak boleh melebihi skor maksimum!" sqref="N489">
      <formula1>M489</formula1>
    </dataValidation>
    <dataValidation type="decimal" errorStyle="stop" operator="lessThanOrEqual" allowBlank="1" showDropDown="1" showInputMessage="0" showErrorMessage="1" error="Skor tidak boleh melebihi skor maksimum!" sqref="Q489">
      <formula1>P489</formula1>
    </dataValidation>
    <dataValidation type="decimal" errorStyle="stop" operator="lessThanOrEqual" allowBlank="1" showDropDown="1" showInputMessage="0" showErrorMessage="1" error="Skor tidak boleh melebihi skor maksimum!" sqref="E490">
      <formula1>D490</formula1>
    </dataValidation>
    <dataValidation type="decimal" errorStyle="stop" operator="lessThanOrEqual" allowBlank="1" showDropDown="1" showInputMessage="0" showErrorMessage="1" error="Skor tidak boleh melebihi skor maksimum!" sqref="H490">
      <formula1>G490</formula1>
    </dataValidation>
    <dataValidation type="decimal" errorStyle="stop" operator="lessThanOrEqual" allowBlank="1" showDropDown="1" showInputMessage="0" showErrorMessage="1" error="Skor tidak boleh melebihi skor maksimum!" sqref="K490">
      <formula1>J490</formula1>
    </dataValidation>
    <dataValidation type="decimal" errorStyle="stop" operator="lessThanOrEqual" allowBlank="1" showDropDown="1" showInputMessage="0" showErrorMessage="1" error="Skor tidak boleh melebihi skor maksimum!" sqref="N490">
      <formula1>M490</formula1>
    </dataValidation>
    <dataValidation type="decimal" errorStyle="stop" operator="lessThanOrEqual" allowBlank="1" showDropDown="1" showInputMessage="0" showErrorMessage="1" error="Skor tidak boleh melebihi skor maksimum!" sqref="Q490">
      <formula1>P490</formula1>
    </dataValidation>
    <dataValidation type="decimal" errorStyle="stop" operator="lessThanOrEqual" allowBlank="1" showDropDown="1" showInputMessage="0" showErrorMessage="1" error="Skor tidak boleh melebihi skor maksimum!" sqref="E491">
      <formula1>D491</formula1>
    </dataValidation>
    <dataValidation type="decimal" errorStyle="stop" operator="lessThanOrEqual" allowBlank="1" showDropDown="1" showInputMessage="0" showErrorMessage="1" error="Skor tidak boleh melebihi skor maksimum!" sqref="H491">
      <formula1>G491</formula1>
    </dataValidation>
    <dataValidation type="decimal" errorStyle="stop" operator="lessThanOrEqual" allowBlank="1" showDropDown="1" showInputMessage="0" showErrorMessage="1" error="Skor tidak boleh melebihi skor maksimum!" sqref="K491">
      <formula1>J491</formula1>
    </dataValidation>
    <dataValidation type="decimal" errorStyle="stop" operator="lessThanOrEqual" allowBlank="1" showDropDown="1" showInputMessage="0" showErrorMessage="1" error="Skor tidak boleh melebihi skor maksimum!" sqref="N491">
      <formula1>M491</formula1>
    </dataValidation>
    <dataValidation type="decimal" errorStyle="stop" operator="lessThanOrEqual" allowBlank="1" showDropDown="1" showInputMessage="0" showErrorMessage="1" error="Skor tidak boleh melebihi skor maksimum!" sqref="Q491">
      <formula1>P491</formula1>
    </dataValidation>
    <dataValidation type="decimal" errorStyle="stop" operator="lessThanOrEqual" allowBlank="1" showDropDown="1" showInputMessage="0" showErrorMessage="1" error="Skor tidak boleh melebihi skor maksimum!" sqref="E492">
      <formula1>D492</formula1>
    </dataValidation>
    <dataValidation type="decimal" errorStyle="stop" operator="lessThanOrEqual" allowBlank="1" showDropDown="1" showInputMessage="0" showErrorMessage="1" error="Skor tidak boleh melebihi skor maksimum!" sqref="H492">
      <formula1>G492</formula1>
    </dataValidation>
    <dataValidation type="decimal" errorStyle="stop" operator="lessThanOrEqual" allowBlank="1" showDropDown="1" showInputMessage="0" showErrorMessage="1" error="Skor tidak boleh melebihi skor maksimum!" sqref="K492">
      <formula1>J492</formula1>
    </dataValidation>
    <dataValidation type="decimal" errorStyle="stop" operator="lessThanOrEqual" allowBlank="1" showDropDown="1" showInputMessage="0" showErrorMessage="1" error="Skor tidak boleh melebihi skor maksimum!" sqref="N492">
      <formula1>M492</formula1>
    </dataValidation>
    <dataValidation type="decimal" errorStyle="stop" operator="lessThanOrEqual" allowBlank="1" showDropDown="1" showInputMessage="0" showErrorMessage="1" error="Skor tidak boleh melebihi skor maksimum!" sqref="Q492">
      <formula1>P492</formula1>
    </dataValidation>
    <dataValidation type="decimal" errorStyle="stop" operator="lessThanOrEqual" allowBlank="1" showDropDown="1" showInputMessage="0" showErrorMessage="1" error="Skor tidak boleh melebihi skor maksimum!" sqref="E493">
      <formula1>D493</formula1>
    </dataValidation>
    <dataValidation type="decimal" errorStyle="stop" operator="lessThanOrEqual" allowBlank="1" showDropDown="1" showInputMessage="0" showErrorMessage="1" error="Skor tidak boleh melebihi skor maksimum!" sqref="H493">
      <formula1>G493</formula1>
    </dataValidation>
    <dataValidation type="decimal" errorStyle="stop" operator="lessThanOrEqual" allowBlank="1" showDropDown="1" showInputMessage="0" showErrorMessage="1" error="Skor tidak boleh melebihi skor maksimum!" sqref="K493">
      <formula1>J493</formula1>
    </dataValidation>
    <dataValidation type="decimal" errorStyle="stop" operator="lessThanOrEqual" allowBlank="1" showDropDown="1" showInputMessage="0" showErrorMessage="1" error="Skor tidak boleh melebihi skor maksimum!" sqref="N493">
      <formula1>M493</formula1>
    </dataValidation>
    <dataValidation type="decimal" errorStyle="stop" operator="lessThanOrEqual" allowBlank="1" showDropDown="1" showInputMessage="0" showErrorMessage="1" error="Skor tidak boleh melebihi skor maksimum!" sqref="Q493">
      <formula1>P493</formula1>
    </dataValidation>
    <dataValidation type="decimal" errorStyle="stop" operator="lessThanOrEqual" allowBlank="1" showDropDown="1" showInputMessage="0" showErrorMessage="1" error="Skor tidak boleh melebihi skor maksimum!" sqref="E494">
      <formula1>D494</formula1>
    </dataValidation>
    <dataValidation type="decimal" errorStyle="stop" operator="lessThanOrEqual" allowBlank="1" showDropDown="1" showInputMessage="0" showErrorMessage="1" error="Skor tidak boleh melebihi skor maksimum!" sqref="H494">
      <formula1>G494</formula1>
    </dataValidation>
    <dataValidation type="decimal" errorStyle="stop" operator="lessThanOrEqual" allowBlank="1" showDropDown="1" showInputMessage="0" showErrorMessage="1" error="Skor tidak boleh melebihi skor maksimum!" sqref="K494">
      <formula1>J494</formula1>
    </dataValidation>
    <dataValidation type="decimal" errorStyle="stop" operator="lessThanOrEqual" allowBlank="1" showDropDown="1" showInputMessage="0" showErrorMessage="1" error="Skor tidak boleh melebihi skor maksimum!" sqref="N494">
      <formula1>M494</formula1>
    </dataValidation>
    <dataValidation type="decimal" errorStyle="stop" operator="lessThanOrEqual" allowBlank="1" showDropDown="1" showInputMessage="0" showErrorMessage="1" error="Skor tidak boleh melebihi skor maksimum!" sqref="Q494">
      <formula1>P494</formula1>
    </dataValidation>
    <dataValidation type="decimal" errorStyle="stop" operator="lessThanOrEqual" allowBlank="1" showDropDown="1" showInputMessage="0" showErrorMessage="1" error="Skor tidak boleh melebihi skor maksimum!" sqref="E495">
      <formula1>D495</formula1>
    </dataValidation>
    <dataValidation type="decimal" errorStyle="stop" operator="lessThanOrEqual" allowBlank="1" showDropDown="1" showInputMessage="0" showErrorMessage="1" error="Skor tidak boleh melebihi skor maksimum!" sqref="H495">
      <formula1>G495</formula1>
    </dataValidation>
    <dataValidation type="decimal" errorStyle="stop" operator="lessThanOrEqual" allowBlank="1" showDropDown="1" showInputMessage="0" showErrorMessage="1" error="Skor tidak boleh melebihi skor maksimum!" sqref="K495">
      <formula1>J495</formula1>
    </dataValidation>
    <dataValidation type="decimal" errorStyle="stop" operator="lessThanOrEqual" allowBlank="1" showDropDown="1" showInputMessage="0" showErrorMessage="1" error="Skor tidak boleh melebihi skor maksimum!" sqref="N495">
      <formula1>M495</formula1>
    </dataValidation>
    <dataValidation type="decimal" errorStyle="stop" operator="lessThanOrEqual" allowBlank="1" showDropDown="1" showInputMessage="0" showErrorMessage="1" error="Skor tidak boleh melebihi skor maksimum!" sqref="Q495">
      <formula1>P495</formula1>
    </dataValidation>
    <dataValidation type="decimal" errorStyle="stop" operator="lessThanOrEqual" allowBlank="1" showDropDown="1" showInputMessage="0" showErrorMessage="1" error="Skor tidak boleh melebihi skor maksimum!" sqref="E496">
      <formula1>D496</formula1>
    </dataValidation>
    <dataValidation type="decimal" errorStyle="stop" operator="lessThanOrEqual" allowBlank="1" showDropDown="1" showInputMessage="0" showErrorMessage="1" error="Skor tidak boleh melebihi skor maksimum!" sqref="H496">
      <formula1>G496</formula1>
    </dataValidation>
    <dataValidation type="decimal" errorStyle="stop" operator="lessThanOrEqual" allowBlank="1" showDropDown="1" showInputMessage="0" showErrorMessage="1" error="Skor tidak boleh melebihi skor maksimum!" sqref="K496">
      <formula1>J496</formula1>
    </dataValidation>
    <dataValidation type="decimal" errorStyle="stop" operator="lessThanOrEqual" allowBlank="1" showDropDown="1" showInputMessage="0" showErrorMessage="1" error="Skor tidak boleh melebihi skor maksimum!" sqref="N496">
      <formula1>M496</formula1>
    </dataValidation>
    <dataValidation type="decimal" errorStyle="stop" operator="lessThanOrEqual" allowBlank="1" showDropDown="1" showInputMessage="0" showErrorMessage="1" error="Skor tidak boleh melebihi skor maksimum!" sqref="Q496">
      <formula1>P496</formula1>
    </dataValidation>
    <dataValidation type="decimal" errorStyle="stop" operator="lessThanOrEqual" allowBlank="1" showDropDown="1" showInputMessage="0" showErrorMessage="1" error="Skor tidak boleh melebihi skor maksimum!" sqref="E497">
      <formula1>D497</formula1>
    </dataValidation>
    <dataValidation type="decimal" errorStyle="stop" operator="lessThanOrEqual" allowBlank="1" showDropDown="1" showInputMessage="0" showErrorMessage="1" error="Skor tidak boleh melebihi skor maksimum!" sqref="H497">
      <formula1>G497</formula1>
    </dataValidation>
    <dataValidation type="decimal" errorStyle="stop" operator="lessThanOrEqual" allowBlank="1" showDropDown="1" showInputMessage="0" showErrorMessage="1" error="Skor tidak boleh melebihi skor maksimum!" sqref="K497">
      <formula1>J497</formula1>
    </dataValidation>
    <dataValidation type="decimal" errorStyle="stop" operator="lessThanOrEqual" allowBlank="1" showDropDown="1" showInputMessage="0" showErrorMessage="1" error="Skor tidak boleh melebihi skor maksimum!" sqref="N497">
      <formula1>M497</formula1>
    </dataValidation>
    <dataValidation type="decimal" errorStyle="stop" operator="lessThanOrEqual" allowBlank="1" showDropDown="1" showInputMessage="0" showErrorMessage="1" error="Skor tidak boleh melebihi skor maksimum!" sqref="Q497">
      <formula1>P497</formula1>
    </dataValidation>
    <dataValidation type="decimal" errorStyle="stop" operator="lessThanOrEqual" allowBlank="1" showDropDown="1" showInputMessage="0" showErrorMessage="1" error="Skor tidak boleh melebihi skor maksimum!" sqref="E498">
      <formula1>D498</formula1>
    </dataValidation>
    <dataValidation type="decimal" errorStyle="stop" operator="lessThanOrEqual" allowBlank="1" showDropDown="1" showInputMessage="0" showErrorMessage="1" error="Skor tidak boleh melebihi skor maksimum!" sqref="H498">
      <formula1>G498</formula1>
    </dataValidation>
    <dataValidation type="decimal" errorStyle="stop" operator="lessThanOrEqual" allowBlank="1" showDropDown="1" showInputMessage="0" showErrorMessage="1" error="Skor tidak boleh melebihi skor maksimum!" sqref="K498">
      <formula1>J498</formula1>
    </dataValidation>
    <dataValidation type="decimal" errorStyle="stop" operator="lessThanOrEqual" allowBlank="1" showDropDown="1" showInputMessage="0" showErrorMessage="1" error="Skor tidak boleh melebihi skor maksimum!" sqref="N498">
      <formula1>M498</formula1>
    </dataValidation>
    <dataValidation type="decimal" errorStyle="stop" operator="lessThanOrEqual" allowBlank="1" showDropDown="1" showInputMessage="0" showErrorMessage="1" error="Skor tidak boleh melebihi skor maksimum!" sqref="Q498">
      <formula1>P498</formula1>
    </dataValidation>
    <dataValidation type="decimal" errorStyle="stop" operator="lessThanOrEqual" allowBlank="1" showDropDown="1" showInputMessage="0" showErrorMessage="1" error="Skor tidak boleh melebihi skor maksimum!" sqref="E499">
      <formula1>D499</formula1>
    </dataValidation>
    <dataValidation type="decimal" errorStyle="stop" operator="lessThanOrEqual" allowBlank="1" showDropDown="1" showInputMessage="0" showErrorMessage="1" error="Skor tidak boleh melebihi skor maksimum!" sqref="H499">
      <formula1>G499</formula1>
    </dataValidation>
    <dataValidation type="decimal" errorStyle="stop" operator="lessThanOrEqual" allowBlank="1" showDropDown="1" showInputMessage="0" showErrorMessage="1" error="Skor tidak boleh melebihi skor maksimum!" sqref="K499">
      <formula1>J499</formula1>
    </dataValidation>
    <dataValidation type="decimal" errorStyle="stop" operator="lessThanOrEqual" allowBlank="1" showDropDown="1" showInputMessage="0" showErrorMessage="1" error="Skor tidak boleh melebihi skor maksimum!" sqref="N499">
      <formula1>M499</formula1>
    </dataValidation>
    <dataValidation type="decimal" errorStyle="stop" operator="lessThanOrEqual" allowBlank="1" showDropDown="1" showInputMessage="0" showErrorMessage="1" error="Skor tidak boleh melebihi skor maksimum!" sqref="Q499">
      <formula1>P499</formula1>
    </dataValidation>
    <dataValidation type="decimal" errorStyle="stop" operator="lessThanOrEqual" allowBlank="1" showDropDown="1" showInputMessage="0" showErrorMessage="1" error="Skor tidak boleh melebihi skor maksimum!" sqref="E500">
      <formula1>D500</formula1>
    </dataValidation>
    <dataValidation type="decimal" errorStyle="stop" operator="lessThanOrEqual" allowBlank="1" showDropDown="1" showInputMessage="0" showErrorMessage="1" error="Skor tidak boleh melebihi skor maksimum!" sqref="H500">
      <formula1>G500</formula1>
    </dataValidation>
    <dataValidation type="decimal" errorStyle="stop" operator="lessThanOrEqual" allowBlank="1" showDropDown="1" showInputMessage="0" showErrorMessage="1" error="Skor tidak boleh melebihi skor maksimum!" sqref="K500">
      <formula1>J500</formula1>
    </dataValidation>
    <dataValidation type="decimal" errorStyle="stop" operator="lessThanOrEqual" allowBlank="1" showDropDown="1" showInputMessage="0" showErrorMessage="1" error="Skor tidak boleh melebihi skor maksimum!" sqref="N500">
      <formula1>M500</formula1>
    </dataValidation>
    <dataValidation type="decimal" errorStyle="stop" operator="lessThanOrEqual" allowBlank="1" showDropDown="1" showInputMessage="0" showErrorMessage="1" error="Skor tidak boleh melebihi skor maksimum!" sqref="Q500">
      <formula1>P500</formula1>
    </dataValidation>
    <dataValidation type="decimal" errorStyle="stop" operator="lessThanOrEqual" allowBlank="1" showDropDown="1" showInputMessage="0" showErrorMessage="1" error="Skor tidak boleh melebihi skor maksimum!" sqref="E501">
      <formula1>D501</formula1>
    </dataValidation>
    <dataValidation type="decimal" errorStyle="stop" operator="lessThanOrEqual" allowBlank="1" showDropDown="1" showInputMessage="0" showErrorMessage="1" error="Skor tidak boleh melebihi skor maksimum!" sqref="H501">
      <formula1>G501</formula1>
    </dataValidation>
    <dataValidation type="decimal" errorStyle="stop" operator="lessThanOrEqual" allowBlank="1" showDropDown="1" showInputMessage="0" showErrorMessage="1" error="Skor tidak boleh melebihi skor maksimum!" sqref="K501">
      <formula1>J501</formula1>
    </dataValidation>
    <dataValidation type="decimal" errorStyle="stop" operator="lessThanOrEqual" allowBlank="1" showDropDown="1" showInputMessage="0" showErrorMessage="1" error="Skor tidak boleh melebihi skor maksimum!" sqref="N501">
      <formula1>M501</formula1>
    </dataValidation>
    <dataValidation type="decimal" errorStyle="stop" operator="lessThanOrEqual" allowBlank="1" showDropDown="1" showInputMessage="0" showErrorMessage="1" error="Skor tidak boleh melebihi skor maksimum!" sqref="Q501">
      <formula1>P501</formula1>
    </dataValidation>
    <dataValidation type="decimal" errorStyle="stop" operator="lessThanOrEqual" allowBlank="1" showDropDown="1" showInputMessage="0" showErrorMessage="1" error="Skor tidak boleh melebihi skor maksimum!" sqref="E502">
      <formula1>D502</formula1>
    </dataValidation>
    <dataValidation type="decimal" errorStyle="stop" operator="lessThanOrEqual" allowBlank="1" showDropDown="1" showInputMessage="0" showErrorMessage="1" error="Skor tidak boleh melebihi skor maksimum!" sqref="H502">
      <formula1>G502</formula1>
    </dataValidation>
    <dataValidation type="decimal" errorStyle="stop" operator="lessThanOrEqual" allowBlank="1" showDropDown="1" showInputMessage="0" showErrorMessage="1" error="Skor tidak boleh melebihi skor maksimum!" sqref="K502">
      <formula1>J502</formula1>
    </dataValidation>
    <dataValidation type="decimal" errorStyle="stop" operator="lessThanOrEqual" allowBlank="1" showDropDown="1" showInputMessage="0" showErrorMessage="1" error="Skor tidak boleh melebihi skor maksimum!" sqref="N502">
      <formula1>M502</formula1>
    </dataValidation>
    <dataValidation type="decimal" errorStyle="stop" operator="lessThanOrEqual" allowBlank="1" showDropDown="1" showInputMessage="0" showErrorMessage="1" error="Skor tidak boleh melebihi skor maksimum!" sqref="Q502">
      <formula1>P502</formula1>
    </dataValidation>
    <dataValidation type="decimal" errorStyle="stop" operator="lessThanOrEqual" allowBlank="1" showDropDown="1" showInputMessage="0" showErrorMessage="1" error="Skor tidak boleh melebihi skor maksimum!" sqref="E503">
      <formula1>D503</formula1>
    </dataValidation>
    <dataValidation type="decimal" errorStyle="stop" operator="lessThanOrEqual" allowBlank="1" showDropDown="1" showInputMessage="0" showErrorMessage="1" error="Skor tidak boleh melebihi skor maksimum!" sqref="H503">
      <formula1>G503</formula1>
    </dataValidation>
    <dataValidation type="decimal" errorStyle="stop" operator="lessThanOrEqual" allowBlank="1" showDropDown="1" showInputMessage="0" showErrorMessage="1" error="Skor tidak boleh melebihi skor maksimum!" sqref="K503">
      <formula1>J503</formula1>
    </dataValidation>
    <dataValidation type="decimal" errorStyle="stop" operator="lessThanOrEqual" allowBlank="1" showDropDown="1" showInputMessage="0" showErrorMessage="1" error="Skor tidak boleh melebihi skor maksimum!" sqref="N503">
      <formula1>M503</formula1>
    </dataValidation>
    <dataValidation type="decimal" errorStyle="stop" operator="lessThanOrEqual" allowBlank="1" showDropDown="1" showInputMessage="0" showErrorMessage="1" error="Skor tidak boleh melebihi skor maksimum!" sqref="Q503">
      <formula1>P503</formula1>
    </dataValidation>
    <dataValidation type="decimal" errorStyle="stop" operator="lessThanOrEqual" allowBlank="1" showDropDown="1" showInputMessage="0" showErrorMessage="1" error="Skor tidak boleh melebihi skor maksimum!" sqref="E504">
      <formula1>D504</formula1>
    </dataValidation>
    <dataValidation type="decimal" errorStyle="stop" operator="lessThanOrEqual" allowBlank="1" showDropDown="1" showInputMessage="0" showErrorMessage="1" error="Skor tidak boleh melebihi skor maksimum!" sqref="H504">
      <formula1>G504</formula1>
    </dataValidation>
    <dataValidation type="decimal" errorStyle="stop" operator="lessThanOrEqual" allowBlank="1" showDropDown="1" showInputMessage="0" showErrorMessage="1" error="Skor tidak boleh melebihi skor maksimum!" sqref="K504">
      <formula1>J504</formula1>
    </dataValidation>
    <dataValidation type="decimal" errorStyle="stop" operator="lessThanOrEqual" allowBlank="1" showDropDown="1" showInputMessage="0" showErrorMessage="1" error="Skor tidak boleh melebihi skor maksimum!" sqref="N504">
      <formula1>M504</formula1>
    </dataValidation>
    <dataValidation type="decimal" errorStyle="stop" operator="lessThanOrEqual" allowBlank="1" showDropDown="1" showInputMessage="0" showErrorMessage="1" error="Skor tidak boleh melebihi skor maksimum!" sqref="Q504">
      <formula1>P504</formula1>
    </dataValidation>
    <dataValidation type="decimal" errorStyle="stop" operator="lessThanOrEqual" allowBlank="1" showDropDown="1" showInputMessage="0" showErrorMessage="1" error="Skor tidak boleh melebihi skor maksimum!" sqref="E505">
      <formula1>D505</formula1>
    </dataValidation>
    <dataValidation type="decimal" errorStyle="stop" operator="lessThanOrEqual" allowBlank="1" showDropDown="1" showInputMessage="0" showErrorMessage="1" error="Skor tidak boleh melebihi skor maksimum!" sqref="H505">
      <formula1>G505</formula1>
    </dataValidation>
    <dataValidation type="decimal" errorStyle="stop" operator="lessThanOrEqual" allowBlank="1" showDropDown="1" showInputMessage="0" showErrorMessage="1" error="Skor tidak boleh melebihi skor maksimum!" sqref="K505">
      <formula1>J505</formula1>
    </dataValidation>
    <dataValidation type="decimal" errorStyle="stop" operator="lessThanOrEqual" allowBlank="1" showDropDown="1" showInputMessage="0" showErrorMessage="1" error="Skor tidak boleh melebihi skor maksimum!" sqref="N505">
      <formula1>M505</formula1>
    </dataValidation>
    <dataValidation type="decimal" errorStyle="stop" operator="lessThanOrEqual" allowBlank="1" showDropDown="1" showInputMessage="0" showErrorMessage="1" error="Skor tidak boleh melebihi skor maksimum!" sqref="Q505">
      <formula1>P505</formula1>
    </dataValidation>
    <dataValidation type="decimal" errorStyle="stop" operator="lessThanOrEqual" allowBlank="1" showDropDown="1" showInputMessage="0" showErrorMessage="1" error="Skor tidak boleh melebihi skor maksimum!" sqref="E506">
      <formula1>D506</formula1>
    </dataValidation>
    <dataValidation type="decimal" errorStyle="stop" operator="lessThanOrEqual" allowBlank="1" showDropDown="1" showInputMessage="0" showErrorMessage="1" error="Skor tidak boleh melebihi skor maksimum!" sqref="H506">
      <formula1>G506</formula1>
    </dataValidation>
    <dataValidation type="decimal" errorStyle="stop" operator="lessThanOrEqual" allowBlank="1" showDropDown="1" showInputMessage="0" showErrorMessage="1" error="Skor tidak boleh melebihi skor maksimum!" sqref="K506">
      <formula1>J506</formula1>
    </dataValidation>
    <dataValidation type="decimal" errorStyle="stop" operator="lessThanOrEqual" allowBlank="1" showDropDown="1" showInputMessage="0" showErrorMessage="1" error="Skor tidak boleh melebihi skor maksimum!" sqref="N506">
      <formula1>M506</formula1>
    </dataValidation>
    <dataValidation type="decimal" errorStyle="stop" operator="lessThanOrEqual" allowBlank="1" showDropDown="1" showInputMessage="0" showErrorMessage="1" error="Skor tidak boleh melebihi skor maksimum!" sqref="Q506">
      <formula1>P506</formula1>
    </dataValidation>
    <dataValidation type="decimal" errorStyle="stop" operator="lessThanOrEqual" allowBlank="1" showDropDown="1" showInputMessage="0" showErrorMessage="1" error="Skor tidak boleh melebihi skor maksimum!" sqref="E507">
      <formula1>D507</formula1>
    </dataValidation>
    <dataValidation type="decimal" errorStyle="stop" operator="lessThanOrEqual" allowBlank="1" showDropDown="1" showInputMessage="0" showErrorMessage="1" error="Skor tidak boleh melebihi skor maksimum!" sqref="H507">
      <formula1>G507</formula1>
    </dataValidation>
    <dataValidation type="decimal" errorStyle="stop" operator="lessThanOrEqual" allowBlank="1" showDropDown="1" showInputMessage="0" showErrorMessage="1" error="Skor tidak boleh melebihi skor maksimum!" sqref="K507">
      <formula1>J507</formula1>
    </dataValidation>
    <dataValidation type="decimal" errorStyle="stop" operator="lessThanOrEqual" allowBlank="1" showDropDown="1" showInputMessage="0" showErrorMessage="1" error="Skor tidak boleh melebihi skor maksimum!" sqref="N507">
      <formula1>M507</formula1>
    </dataValidation>
    <dataValidation type="decimal" errorStyle="stop" operator="lessThanOrEqual" allowBlank="1" showDropDown="1" showInputMessage="0" showErrorMessage="1" error="Skor tidak boleh melebihi skor maksimum!" sqref="Q507">
      <formula1>P507</formula1>
    </dataValidation>
    <dataValidation type="decimal" errorStyle="stop" operator="lessThanOrEqual" allowBlank="1" showDropDown="1" showInputMessage="0" showErrorMessage="1" error="Skor tidak boleh melebihi skor maksimum!" sqref="E508">
      <formula1>D508</formula1>
    </dataValidation>
    <dataValidation type="decimal" errorStyle="stop" operator="lessThanOrEqual" allowBlank="1" showDropDown="1" showInputMessage="0" showErrorMessage="1" error="Skor tidak boleh melebihi skor maksimum!" sqref="H508">
      <formula1>G508</formula1>
    </dataValidation>
    <dataValidation type="decimal" errorStyle="stop" operator="lessThanOrEqual" allowBlank="1" showDropDown="1" showInputMessage="0" showErrorMessage="1" error="Skor tidak boleh melebihi skor maksimum!" sqref="K508">
      <formula1>J508</formula1>
    </dataValidation>
    <dataValidation type="decimal" errorStyle="stop" operator="lessThanOrEqual" allowBlank="1" showDropDown="1" showInputMessage="0" showErrorMessage="1" error="Skor tidak boleh melebihi skor maksimum!" sqref="N508">
      <formula1>M508</formula1>
    </dataValidation>
    <dataValidation type="decimal" errorStyle="stop" operator="lessThanOrEqual" allowBlank="1" showDropDown="1" showInputMessage="0" showErrorMessage="1" error="Skor tidak boleh melebihi skor maksimum!" sqref="Q508">
      <formula1>P508</formula1>
    </dataValidation>
    <dataValidation type="decimal" errorStyle="stop" operator="lessThanOrEqual" allowBlank="1" showDropDown="1" showInputMessage="0" showErrorMessage="1" error="Skor tidak boleh melebihi skor maksimum!" sqref="E509">
      <formula1>D509</formula1>
    </dataValidation>
    <dataValidation type="decimal" errorStyle="stop" operator="lessThanOrEqual" allowBlank="1" showDropDown="1" showInputMessage="0" showErrorMessage="1" error="Skor tidak boleh melebihi skor maksimum!" sqref="H509">
      <formula1>G509</formula1>
    </dataValidation>
    <dataValidation type="decimal" errorStyle="stop" operator="lessThanOrEqual" allowBlank="1" showDropDown="1" showInputMessage="0" showErrorMessage="1" error="Skor tidak boleh melebihi skor maksimum!" sqref="K509">
      <formula1>J509</formula1>
    </dataValidation>
    <dataValidation type="decimal" errorStyle="stop" operator="lessThanOrEqual" allowBlank="1" showDropDown="1" showInputMessage="0" showErrorMessage="1" error="Skor tidak boleh melebihi skor maksimum!" sqref="N509">
      <formula1>M509</formula1>
    </dataValidation>
    <dataValidation type="decimal" errorStyle="stop" operator="lessThanOrEqual" allowBlank="1" showDropDown="1" showInputMessage="0" showErrorMessage="1" error="Skor tidak boleh melebihi skor maksimum!" sqref="Q509">
      <formula1>P509</formula1>
    </dataValidation>
    <dataValidation type="decimal" errorStyle="stop" operator="lessThanOrEqual" allowBlank="1" showDropDown="1" showInputMessage="0" showErrorMessage="1" error="Skor tidak boleh melebihi skor maksimum!" sqref="E510">
      <formula1>D510</formula1>
    </dataValidation>
    <dataValidation type="decimal" errorStyle="stop" operator="lessThanOrEqual" allowBlank="1" showDropDown="1" showInputMessage="0" showErrorMessage="1" error="Skor tidak boleh melebihi skor maksimum!" sqref="H510">
      <formula1>G510</formula1>
    </dataValidation>
    <dataValidation type="decimal" errorStyle="stop" operator="lessThanOrEqual" allowBlank="1" showDropDown="1" showInputMessage="0" showErrorMessage="1" error="Skor tidak boleh melebihi skor maksimum!" sqref="K510">
      <formula1>J510</formula1>
    </dataValidation>
    <dataValidation type="decimal" errorStyle="stop" operator="lessThanOrEqual" allowBlank="1" showDropDown="1" showInputMessage="0" showErrorMessage="1" error="Skor tidak boleh melebihi skor maksimum!" sqref="N510">
      <formula1>M510</formula1>
    </dataValidation>
    <dataValidation type="decimal" errorStyle="stop" operator="lessThanOrEqual" allowBlank="1" showDropDown="1" showInputMessage="0" showErrorMessage="1" error="Skor tidak boleh melebihi skor maksimum!" sqref="Q510">
      <formula1>P510</formula1>
    </dataValidation>
    <dataValidation type="decimal" errorStyle="stop" operator="lessThanOrEqual" allowBlank="1" showDropDown="1" showInputMessage="0" showErrorMessage="1" error="Skor tidak boleh melebihi skor maksimum!" sqref="E511">
      <formula1>D511</formula1>
    </dataValidation>
    <dataValidation type="decimal" errorStyle="stop" operator="lessThanOrEqual" allowBlank="1" showDropDown="1" showInputMessage="0" showErrorMessage="1" error="Skor tidak boleh melebihi skor maksimum!" sqref="H511">
      <formula1>G511</formula1>
    </dataValidation>
    <dataValidation type="decimal" errorStyle="stop" operator="lessThanOrEqual" allowBlank="1" showDropDown="1" showInputMessage="0" showErrorMessage="1" error="Skor tidak boleh melebihi skor maksimum!" sqref="K511">
      <formula1>J511</formula1>
    </dataValidation>
    <dataValidation type="decimal" errorStyle="stop" operator="lessThanOrEqual" allowBlank="1" showDropDown="1" showInputMessage="0" showErrorMessage="1" error="Skor tidak boleh melebihi skor maksimum!" sqref="N511">
      <formula1>M511</formula1>
    </dataValidation>
    <dataValidation type="decimal" errorStyle="stop" operator="lessThanOrEqual" allowBlank="1" showDropDown="1" showInputMessage="0" showErrorMessage="1" error="Skor tidak boleh melebihi skor maksimum!" sqref="Q511">
      <formula1>P511</formula1>
    </dataValidation>
    <dataValidation type="decimal" errorStyle="stop" operator="lessThanOrEqual" allowBlank="1" showDropDown="1" showInputMessage="0" showErrorMessage="1" error="Skor tidak boleh melebihi skor maksimum!" sqref="E512">
      <formula1>D512</formula1>
    </dataValidation>
    <dataValidation type="decimal" errorStyle="stop" operator="lessThanOrEqual" allowBlank="1" showDropDown="1" showInputMessage="0" showErrorMessage="1" error="Skor tidak boleh melebihi skor maksimum!" sqref="H512">
      <formula1>G512</formula1>
    </dataValidation>
    <dataValidation type="decimal" errorStyle="stop" operator="lessThanOrEqual" allowBlank="1" showDropDown="1" showInputMessage="0" showErrorMessage="1" error="Skor tidak boleh melebihi skor maksimum!" sqref="K512">
      <formula1>J512</formula1>
    </dataValidation>
    <dataValidation type="decimal" errorStyle="stop" operator="lessThanOrEqual" allowBlank="1" showDropDown="1" showInputMessage="0" showErrorMessage="1" error="Skor tidak boleh melebihi skor maksimum!" sqref="N512">
      <formula1>M512</formula1>
    </dataValidation>
    <dataValidation type="decimal" errorStyle="stop" operator="lessThanOrEqual" allowBlank="1" showDropDown="1" showInputMessage="0" showErrorMessage="1" error="Skor tidak boleh melebihi skor maksimum!" sqref="Q512">
      <formula1>P512</formula1>
    </dataValidation>
    <dataValidation type="decimal" errorStyle="stop" operator="lessThanOrEqual" allowBlank="1" showDropDown="1" showInputMessage="0" showErrorMessage="1" error="Skor tidak boleh melebihi skor maksimum!" sqref="E513">
      <formula1>D513</formula1>
    </dataValidation>
    <dataValidation type="decimal" errorStyle="stop" operator="lessThanOrEqual" allowBlank="1" showDropDown="1" showInputMessage="0" showErrorMessage="1" error="Skor tidak boleh melebihi skor maksimum!" sqref="H513">
      <formula1>G513</formula1>
    </dataValidation>
    <dataValidation type="decimal" errorStyle="stop" operator="lessThanOrEqual" allowBlank="1" showDropDown="1" showInputMessage="0" showErrorMessage="1" error="Skor tidak boleh melebihi skor maksimum!" sqref="K513">
      <formula1>J513</formula1>
    </dataValidation>
    <dataValidation type="decimal" errorStyle="stop" operator="lessThanOrEqual" allowBlank="1" showDropDown="1" showInputMessage="0" showErrorMessage="1" error="Skor tidak boleh melebihi skor maksimum!" sqref="N513">
      <formula1>M513</formula1>
    </dataValidation>
    <dataValidation type="decimal" errorStyle="stop" operator="lessThanOrEqual" allowBlank="1" showDropDown="1" showInputMessage="0" showErrorMessage="1" error="Skor tidak boleh melebihi skor maksimum!" sqref="Q513">
      <formula1>P513</formula1>
    </dataValidation>
    <dataValidation type="decimal" errorStyle="stop" operator="lessThanOrEqual" allowBlank="1" showDropDown="1" showInputMessage="0" showErrorMessage="1" error="Skor tidak boleh melebihi skor maksimum!" sqref="E514">
      <formula1>D514</formula1>
    </dataValidation>
    <dataValidation type="decimal" errorStyle="stop" operator="lessThanOrEqual" allowBlank="1" showDropDown="1" showInputMessage="0" showErrorMessage="1" error="Skor tidak boleh melebihi skor maksimum!" sqref="H514">
      <formula1>G514</formula1>
    </dataValidation>
    <dataValidation type="decimal" errorStyle="stop" operator="lessThanOrEqual" allowBlank="1" showDropDown="1" showInputMessage="0" showErrorMessage="1" error="Skor tidak boleh melebihi skor maksimum!" sqref="K514">
      <formula1>J514</formula1>
    </dataValidation>
    <dataValidation type="decimal" errorStyle="stop" operator="lessThanOrEqual" allowBlank="1" showDropDown="1" showInputMessage="0" showErrorMessage="1" error="Skor tidak boleh melebihi skor maksimum!" sqref="N514">
      <formula1>M514</formula1>
    </dataValidation>
    <dataValidation type="decimal" errorStyle="stop" operator="lessThanOrEqual" allowBlank="1" showDropDown="1" showInputMessage="0" showErrorMessage="1" error="Skor tidak boleh melebihi skor maksimum!" sqref="Q514">
      <formula1>P514</formula1>
    </dataValidation>
    <dataValidation type="decimal" errorStyle="stop" operator="lessThanOrEqual" allowBlank="1" showDropDown="1" showInputMessage="0" showErrorMessage="1" error="Skor tidak boleh melebihi skor maksimum!" sqref="E515">
      <formula1>D515</formula1>
    </dataValidation>
    <dataValidation type="decimal" errorStyle="stop" operator="lessThanOrEqual" allowBlank="1" showDropDown="1" showInputMessage="0" showErrorMessage="1" error="Skor tidak boleh melebihi skor maksimum!" sqref="H515">
      <formula1>G515</formula1>
    </dataValidation>
    <dataValidation type="decimal" errorStyle="stop" operator="lessThanOrEqual" allowBlank="1" showDropDown="1" showInputMessage="0" showErrorMessage="1" error="Skor tidak boleh melebihi skor maksimum!" sqref="K515">
      <formula1>J515</formula1>
    </dataValidation>
    <dataValidation type="decimal" errorStyle="stop" operator="lessThanOrEqual" allowBlank="1" showDropDown="1" showInputMessage="0" showErrorMessage="1" error="Skor tidak boleh melebihi skor maksimum!" sqref="N515">
      <formula1>M515</formula1>
    </dataValidation>
    <dataValidation type="decimal" errorStyle="stop" operator="lessThanOrEqual" allowBlank="1" showDropDown="1" showInputMessage="0" showErrorMessage="1" error="Skor tidak boleh melebihi skor maksimum!" sqref="Q515">
      <formula1>P515</formula1>
    </dataValidation>
    <dataValidation type="decimal" errorStyle="stop" operator="lessThanOrEqual" allowBlank="1" showDropDown="1" showInputMessage="0" showErrorMessage="1" error="Skor tidak boleh melebihi skor maksimum!" sqref="E516">
      <formula1>D516</formula1>
    </dataValidation>
    <dataValidation type="decimal" errorStyle="stop" operator="lessThanOrEqual" allowBlank="1" showDropDown="1" showInputMessage="0" showErrorMessage="1" error="Skor tidak boleh melebihi skor maksimum!" sqref="H516">
      <formula1>G516</formula1>
    </dataValidation>
    <dataValidation type="decimal" errorStyle="stop" operator="lessThanOrEqual" allowBlank="1" showDropDown="1" showInputMessage="0" showErrorMessage="1" error="Skor tidak boleh melebihi skor maksimum!" sqref="K516">
      <formula1>J516</formula1>
    </dataValidation>
    <dataValidation type="decimal" errorStyle="stop" operator="lessThanOrEqual" allowBlank="1" showDropDown="1" showInputMessage="0" showErrorMessage="1" error="Skor tidak boleh melebihi skor maksimum!" sqref="N516">
      <formula1>M516</formula1>
    </dataValidation>
    <dataValidation type="decimal" errorStyle="stop" operator="lessThanOrEqual" allowBlank="1" showDropDown="1" showInputMessage="0" showErrorMessage="1" error="Skor tidak boleh melebihi skor maksimum!" sqref="Q516">
      <formula1>P516</formula1>
    </dataValidation>
    <dataValidation type="decimal" errorStyle="stop" operator="lessThanOrEqual" allowBlank="1" showDropDown="1" showInputMessage="0" showErrorMessage="1" error="Skor tidak boleh melebihi skor maksimum!" sqref="E517">
      <formula1>D517</formula1>
    </dataValidation>
    <dataValidation type="decimal" errorStyle="stop" operator="lessThanOrEqual" allowBlank="1" showDropDown="1" showInputMessage="0" showErrorMessage="1" error="Skor tidak boleh melebihi skor maksimum!" sqref="H517">
      <formula1>G517</formula1>
    </dataValidation>
    <dataValidation type="decimal" errorStyle="stop" operator="lessThanOrEqual" allowBlank="1" showDropDown="1" showInputMessage="0" showErrorMessage="1" error="Skor tidak boleh melebihi skor maksimum!" sqref="K517">
      <formula1>J517</formula1>
    </dataValidation>
    <dataValidation type="decimal" errorStyle="stop" operator="lessThanOrEqual" allowBlank="1" showDropDown="1" showInputMessage="0" showErrorMessage="1" error="Skor tidak boleh melebihi skor maksimum!" sqref="N517">
      <formula1>M517</formula1>
    </dataValidation>
    <dataValidation type="decimal" errorStyle="stop" operator="lessThanOrEqual" allowBlank="1" showDropDown="1" showInputMessage="0" showErrorMessage="1" error="Skor tidak boleh melebihi skor maksimum!" sqref="Q517">
      <formula1>P517</formula1>
    </dataValidation>
    <dataValidation type="decimal" errorStyle="stop" operator="lessThanOrEqual" allowBlank="1" showDropDown="1" showInputMessage="0" showErrorMessage="1" error="Skor tidak boleh melebihi skor maksimum!" sqref="E518">
      <formula1>D518</formula1>
    </dataValidation>
    <dataValidation type="decimal" errorStyle="stop" operator="lessThanOrEqual" allowBlank="1" showDropDown="1" showInputMessage="0" showErrorMessage="1" error="Skor tidak boleh melebihi skor maksimum!" sqref="H518">
      <formula1>G518</formula1>
    </dataValidation>
    <dataValidation type="decimal" errorStyle="stop" operator="lessThanOrEqual" allowBlank="1" showDropDown="1" showInputMessage="0" showErrorMessage="1" error="Skor tidak boleh melebihi skor maksimum!" sqref="K518">
      <formula1>J518</formula1>
    </dataValidation>
    <dataValidation type="decimal" errorStyle="stop" operator="lessThanOrEqual" allowBlank="1" showDropDown="1" showInputMessage="0" showErrorMessage="1" error="Skor tidak boleh melebihi skor maksimum!" sqref="N518">
      <formula1>M518</formula1>
    </dataValidation>
    <dataValidation type="decimal" errorStyle="stop" operator="lessThanOrEqual" allowBlank="1" showDropDown="1" showInputMessage="0" showErrorMessage="1" error="Skor tidak boleh melebihi skor maksimum!" sqref="Q518">
      <formula1>P518</formula1>
    </dataValidation>
    <dataValidation type="decimal" errorStyle="stop" operator="lessThanOrEqual" allowBlank="1" showDropDown="1" showInputMessage="0" showErrorMessage="1" error="Skor tidak boleh melebihi skor maksimum!" sqref="E519">
      <formula1>D519</formula1>
    </dataValidation>
    <dataValidation type="decimal" errorStyle="stop" operator="lessThanOrEqual" allowBlank="1" showDropDown="1" showInputMessage="0" showErrorMessage="1" error="Skor tidak boleh melebihi skor maksimum!" sqref="H519">
      <formula1>G519</formula1>
    </dataValidation>
    <dataValidation type="decimal" errorStyle="stop" operator="lessThanOrEqual" allowBlank="1" showDropDown="1" showInputMessage="0" showErrorMessage="1" error="Skor tidak boleh melebihi skor maksimum!" sqref="K519">
      <formula1>J519</formula1>
    </dataValidation>
    <dataValidation type="decimal" errorStyle="stop" operator="lessThanOrEqual" allowBlank="1" showDropDown="1" showInputMessage="0" showErrorMessage="1" error="Skor tidak boleh melebihi skor maksimum!" sqref="N519">
      <formula1>M519</formula1>
    </dataValidation>
    <dataValidation type="decimal" errorStyle="stop" operator="lessThanOrEqual" allowBlank="1" showDropDown="1" showInputMessage="0" showErrorMessage="1" error="Skor tidak boleh melebihi skor maksimum!" sqref="Q519">
      <formula1>P519</formula1>
    </dataValidation>
    <dataValidation type="decimal" errorStyle="stop" operator="lessThanOrEqual" allowBlank="1" showDropDown="1" showInputMessage="0" showErrorMessage="1" error="Skor tidak boleh melebihi skor maksimum!" sqref="E520">
      <formula1>D520</formula1>
    </dataValidation>
    <dataValidation type="decimal" errorStyle="stop" operator="lessThanOrEqual" allowBlank="1" showDropDown="1" showInputMessage="0" showErrorMessage="1" error="Skor tidak boleh melebihi skor maksimum!" sqref="H520">
      <formula1>G520</formula1>
    </dataValidation>
    <dataValidation type="decimal" errorStyle="stop" operator="lessThanOrEqual" allowBlank="1" showDropDown="1" showInputMessage="0" showErrorMessage="1" error="Skor tidak boleh melebihi skor maksimum!" sqref="K520">
      <formula1>J520</formula1>
    </dataValidation>
    <dataValidation type="decimal" errorStyle="stop" operator="lessThanOrEqual" allowBlank="1" showDropDown="1" showInputMessage="0" showErrorMessage="1" error="Skor tidak boleh melebihi skor maksimum!" sqref="N520">
      <formula1>M520</formula1>
    </dataValidation>
    <dataValidation type="decimal" errorStyle="stop" operator="lessThanOrEqual" allowBlank="1" showDropDown="1" showInputMessage="0" showErrorMessage="1" error="Skor tidak boleh melebihi skor maksimum!" sqref="Q520">
      <formula1>P520</formula1>
    </dataValidation>
    <dataValidation type="decimal" errorStyle="stop" operator="lessThanOrEqual" allowBlank="1" showDropDown="1" showInputMessage="0" showErrorMessage="1" error="Skor tidak boleh melebihi skor maksimum!" sqref="E521">
      <formula1>D521</formula1>
    </dataValidation>
    <dataValidation type="decimal" errorStyle="stop" operator="lessThanOrEqual" allowBlank="1" showDropDown="1" showInputMessage="0" showErrorMessage="1" error="Skor tidak boleh melebihi skor maksimum!" sqref="H521">
      <formula1>G521</formula1>
    </dataValidation>
    <dataValidation type="decimal" errorStyle="stop" operator="lessThanOrEqual" allowBlank="1" showDropDown="1" showInputMessage="0" showErrorMessage="1" error="Skor tidak boleh melebihi skor maksimum!" sqref="K521">
      <formula1>J521</formula1>
    </dataValidation>
    <dataValidation type="decimal" errorStyle="stop" operator="lessThanOrEqual" allowBlank="1" showDropDown="1" showInputMessage="0" showErrorMessage="1" error="Skor tidak boleh melebihi skor maksimum!" sqref="N521">
      <formula1>M521</formula1>
    </dataValidation>
    <dataValidation type="decimal" errorStyle="stop" operator="lessThanOrEqual" allowBlank="1" showDropDown="1" showInputMessage="0" showErrorMessage="1" error="Skor tidak boleh melebihi skor maksimum!" sqref="Q521">
      <formula1>P521</formula1>
    </dataValidation>
    <dataValidation type="decimal" errorStyle="stop" operator="lessThanOrEqual" allowBlank="1" showDropDown="1" showInputMessage="0" showErrorMessage="1" error="Skor tidak boleh melebihi skor maksimum!" sqref="E522">
      <formula1>D522</formula1>
    </dataValidation>
    <dataValidation type="decimal" errorStyle="stop" operator="lessThanOrEqual" allowBlank="1" showDropDown="1" showInputMessage="0" showErrorMessage="1" error="Skor tidak boleh melebihi skor maksimum!" sqref="H522">
      <formula1>G522</formula1>
    </dataValidation>
    <dataValidation type="decimal" errorStyle="stop" operator="lessThanOrEqual" allowBlank="1" showDropDown="1" showInputMessage="0" showErrorMessage="1" error="Skor tidak boleh melebihi skor maksimum!" sqref="K522">
      <formula1>J522</formula1>
    </dataValidation>
    <dataValidation type="decimal" errorStyle="stop" operator="lessThanOrEqual" allowBlank="1" showDropDown="1" showInputMessage="0" showErrorMessage="1" error="Skor tidak boleh melebihi skor maksimum!" sqref="N522">
      <formula1>M522</formula1>
    </dataValidation>
    <dataValidation type="decimal" errorStyle="stop" operator="lessThanOrEqual" allowBlank="1" showDropDown="1" showInputMessage="0" showErrorMessage="1" error="Skor tidak boleh melebihi skor maksimum!" sqref="Q522">
      <formula1>P522</formula1>
    </dataValidation>
    <dataValidation type="decimal" errorStyle="stop" operator="lessThanOrEqual" allowBlank="1" showDropDown="1" showInputMessage="0" showErrorMessage="1" error="Skor tidak boleh melebihi skor maksimum!" sqref="E523">
      <formula1>D523</formula1>
    </dataValidation>
    <dataValidation type="decimal" errorStyle="stop" operator="lessThanOrEqual" allowBlank="1" showDropDown="1" showInputMessage="0" showErrorMessage="1" error="Skor tidak boleh melebihi skor maksimum!" sqref="H523">
      <formula1>G523</formula1>
    </dataValidation>
    <dataValidation type="decimal" errorStyle="stop" operator="lessThanOrEqual" allowBlank="1" showDropDown="1" showInputMessage="0" showErrorMessage="1" error="Skor tidak boleh melebihi skor maksimum!" sqref="K523">
      <formula1>J523</formula1>
    </dataValidation>
    <dataValidation type="decimal" errorStyle="stop" operator="lessThanOrEqual" allowBlank="1" showDropDown="1" showInputMessage="0" showErrorMessage="1" error="Skor tidak boleh melebihi skor maksimum!" sqref="N523">
      <formula1>M523</formula1>
    </dataValidation>
    <dataValidation type="decimal" errorStyle="stop" operator="lessThanOrEqual" allowBlank="1" showDropDown="1" showInputMessage="0" showErrorMessage="1" error="Skor tidak boleh melebihi skor maksimum!" sqref="Q523">
      <formula1>P523</formula1>
    </dataValidation>
    <dataValidation type="decimal" errorStyle="stop" operator="lessThanOrEqual" allowBlank="1" showDropDown="1" showInputMessage="0" showErrorMessage="1" error="Skor tidak boleh melebihi skor maksimum!" sqref="E524">
      <formula1>D524</formula1>
    </dataValidation>
    <dataValidation type="decimal" errorStyle="stop" operator="lessThanOrEqual" allowBlank="1" showDropDown="1" showInputMessage="0" showErrorMessage="1" error="Skor tidak boleh melebihi skor maksimum!" sqref="H524">
      <formula1>G524</formula1>
    </dataValidation>
    <dataValidation type="decimal" errorStyle="stop" operator="lessThanOrEqual" allowBlank="1" showDropDown="1" showInputMessage="0" showErrorMessage="1" error="Skor tidak boleh melebihi skor maksimum!" sqref="K524">
      <formula1>J524</formula1>
    </dataValidation>
    <dataValidation type="decimal" errorStyle="stop" operator="lessThanOrEqual" allowBlank="1" showDropDown="1" showInputMessage="0" showErrorMessage="1" error="Skor tidak boleh melebihi skor maksimum!" sqref="N524">
      <formula1>M524</formula1>
    </dataValidation>
    <dataValidation type="decimal" errorStyle="stop" operator="lessThanOrEqual" allowBlank="1" showDropDown="1" showInputMessage="0" showErrorMessage="1" error="Skor tidak boleh melebihi skor maksimum!" sqref="Q524">
      <formula1>P524</formula1>
    </dataValidation>
    <dataValidation type="decimal" errorStyle="stop" operator="lessThanOrEqual" allowBlank="1" showDropDown="1" showInputMessage="0" showErrorMessage="1" error="Skor tidak boleh melebihi skor maksimum!" sqref="E525">
      <formula1>D525</formula1>
    </dataValidation>
    <dataValidation type="decimal" errorStyle="stop" operator="lessThanOrEqual" allowBlank="1" showDropDown="1" showInputMessage="0" showErrorMessage="1" error="Skor tidak boleh melebihi skor maksimum!" sqref="H525">
      <formula1>G525</formula1>
    </dataValidation>
    <dataValidation type="decimal" errorStyle="stop" operator="lessThanOrEqual" allowBlank="1" showDropDown="1" showInputMessage="0" showErrorMessage="1" error="Skor tidak boleh melebihi skor maksimum!" sqref="K525">
      <formula1>J525</formula1>
    </dataValidation>
    <dataValidation type="decimal" errorStyle="stop" operator="lessThanOrEqual" allowBlank="1" showDropDown="1" showInputMessage="0" showErrorMessage="1" error="Skor tidak boleh melebihi skor maksimum!" sqref="N525">
      <formula1>M525</formula1>
    </dataValidation>
    <dataValidation type="decimal" errorStyle="stop" operator="lessThanOrEqual" allowBlank="1" showDropDown="1" showInputMessage="0" showErrorMessage="1" error="Skor tidak boleh melebihi skor maksimum!" sqref="Q525">
      <formula1>P525</formula1>
    </dataValidation>
    <dataValidation type="decimal" errorStyle="stop" operator="lessThanOrEqual" allowBlank="1" showDropDown="1" showInputMessage="0" showErrorMessage="1" error="Skor tidak boleh melebihi skor maksimum!" sqref="E526">
      <formula1>D526</formula1>
    </dataValidation>
    <dataValidation type="decimal" errorStyle="stop" operator="lessThanOrEqual" allowBlank="1" showDropDown="1" showInputMessage="0" showErrorMessage="1" error="Skor tidak boleh melebihi skor maksimum!" sqref="H526">
      <formula1>G526</formula1>
    </dataValidation>
    <dataValidation type="decimal" errorStyle="stop" operator="lessThanOrEqual" allowBlank="1" showDropDown="1" showInputMessage="0" showErrorMessage="1" error="Skor tidak boleh melebihi skor maksimum!" sqref="K526">
      <formula1>J526</formula1>
    </dataValidation>
    <dataValidation type="decimal" errorStyle="stop" operator="lessThanOrEqual" allowBlank="1" showDropDown="1" showInputMessage="0" showErrorMessage="1" error="Skor tidak boleh melebihi skor maksimum!" sqref="N526">
      <formula1>M526</formula1>
    </dataValidation>
    <dataValidation type="decimal" errorStyle="stop" operator="lessThanOrEqual" allowBlank="1" showDropDown="1" showInputMessage="0" showErrorMessage="1" error="Skor tidak boleh melebihi skor maksimum!" sqref="Q526">
      <formula1>P526</formula1>
    </dataValidation>
    <dataValidation type="decimal" errorStyle="stop" operator="lessThanOrEqual" allowBlank="1" showDropDown="1" showInputMessage="0" showErrorMessage="1" error="Skor tidak boleh melebihi skor maksimum!" sqref="E527">
      <formula1>D527</formula1>
    </dataValidation>
    <dataValidation type="decimal" errorStyle="stop" operator="lessThanOrEqual" allowBlank="1" showDropDown="1" showInputMessage="0" showErrorMessage="1" error="Skor tidak boleh melebihi skor maksimum!" sqref="H527">
      <formula1>G527</formula1>
    </dataValidation>
    <dataValidation type="decimal" errorStyle="stop" operator="lessThanOrEqual" allowBlank="1" showDropDown="1" showInputMessage="0" showErrorMessage="1" error="Skor tidak boleh melebihi skor maksimum!" sqref="K527">
      <formula1>J527</formula1>
    </dataValidation>
    <dataValidation type="decimal" errorStyle="stop" operator="lessThanOrEqual" allowBlank="1" showDropDown="1" showInputMessage="0" showErrorMessage="1" error="Skor tidak boleh melebihi skor maksimum!" sqref="N527">
      <formula1>M527</formula1>
    </dataValidation>
    <dataValidation type="decimal" errorStyle="stop" operator="lessThanOrEqual" allowBlank="1" showDropDown="1" showInputMessage="0" showErrorMessage="1" error="Skor tidak boleh melebihi skor maksimum!" sqref="Q527">
      <formula1>P527</formula1>
    </dataValidation>
    <dataValidation type="decimal" errorStyle="stop" operator="lessThanOrEqual" allowBlank="1" showDropDown="1" showInputMessage="0" showErrorMessage="1" error="Skor tidak boleh melebihi skor maksimum!" sqref="E528">
      <formula1>D528</formula1>
    </dataValidation>
    <dataValidation type="decimal" errorStyle="stop" operator="lessThanOrEqual" allowBlank="1" showDropDown="1" showInputMessage="0" showErrorMessage="1" error="Skor tidak boleh melebihi skor maksimum!" sqref="H528">
      <formula1>G528</formula1>
    </dataValidation>
    <dataValidation type="decimal" errorStyle="stop" operator="lessThanOrEqual" allowBlank="1" showDropDown="1" showInputMessage="0" showErrorMessage="1" error="Skor tidak boleh melebihi skor maksimum!" sqref="K528">
      <formula1>J528</formula1>
    </dataValidation>
    <dataValidation type="decimal" errorStyle="stop" operator="lessThanOrEqual" allowBlank="1" showDropDown="1" showInputMessage="0" showErrorMessage="1" error="Skor tidak boleh melebihi skor maksimum!" sqref="N528">
      <formula1>M528</formula1>
    </dataValidation>
    <dataValidation type="decimal" errorStyle="stop" operator="lessThanOrEqual" allowBlank="1" showDropDown="1" showInputMessage="0" showErrorMessage="1" error="Skor tidak boleh melebihi skor maksimum!" sqref="Q528">
      <formula1>P528</formula1>
    </dataValidation>
    <dataValidation type="decimal" errorStyle="stop" operator="lessThanOrEqual" allowBlank="1" showDropDown="1" showInputMessage="0" showErrorMessage="1" error="Skor tidak boleh melebihi skor maksimum!" sqref="E529">
      <formula1>D529</formula1>
    </dataValidation>
    <dataValidation type="decimal" errorStyle="stop" operator="lessThanOrEqual" allowBlank="1" showDropDown="1" showInputMessage="0" showErrorMessage="1" error="Skor tidak boleh melebihi skor maksimum!" sqref="H529">
      <formula1>G529</formula1>
    </dataValidation>
    <dataValidation type="decimal" errorStyle="stop" operator="lessThanOrEqual" allowBlank="1" showDropDown="1" showInputMessage="0" showErrorMessage="1" error="Skor tidak boleh melebihi skor maksimum!" sqref="K529">
      <formula1>J529</formula1>
    </dataValidation>
    <dataValidation type="decimal" errorStyle="stop" operator="lessThanOrEqual" allowBlank="1" showDropDown="1" showInputMessage="0" showErrorMessage="1" error="Skor tidak boleh melebihi skor maksimum!" sqref="N529">
      <formula1>M529</formula1>
    </dataValidation>
    <dataValidation type="decimal" errorStyle="stop" operator="lessThanOrEqual" allowBlank="1" showDropDown="1" showInputMessage="0" showErrorMessage="1" error="Skor tidak boleh melebihi skor maksimum!" sqref="Q529">
      <formula1>P529</formula1>
    </dataValidation>
    <dataValidation type="decimal" errorStyle="stop" operator="lessThanOrEqual" allowBlank="1" showDropDown="1" showInputMessage="0" showErrorMessage="1" error="Skor tidak boleh melebihi skor maksimum!" sqref="E530">
      <formula1>D530</formula1>
    </dataValidation>
    <dataValidation type="decimal" errorStyle="stop" operator="lessThanOrEqual" allowBlank="1" showDropDown="1" showInputMessage="0" showErrorMessage="1" error="Skor tidak boleh melebihi skor maksimum!" sqref="H530">
      <formula1>G530</formula1>
    </dataValidation>
    <dataValidation type="decimal" errorStyle="stop" operator="lessThanOrEqual" allowBlank="1" showDropDown="1" showInputMessage="0" showErrorMessage="1" error="Skor tidak boleh melebihi skor maksimum!" sqref="K530">
      <formula1>J530</formula1>
    </dataValidation>
    <dataValidation type="decimal" errorStyle="stop" operator="lessThanOrEqual" allowBlank="1" showDropDown="1" showInputMessage="0" showErrorMessage="1" error="Skor tidak boleh melebihi skor maksimum!" sqref="N530">
      <formula1>M530</formula1>
    </dataValidation>
    <dataValidation type="decimal" errorStyle="stop" operator="lessThanOrEqual" allowBlank="1" showDropDown="1" showInputMessage="0" showErrorMessage="1" error="Skor tidak boleh melebihi skor maksimum!" sqref="Q530">
      <formula1>P530</formula1>
    </dataValidation>
    <dataValidation type="decimal" errorStyle="stop" operator="lessThanOrEqual" allowBlank="1" showDropDown="1" showInputMessage="0" showErrorMessage="1" error="Skor tidak boleh melebihi skor maksimum!" sqref="E531">
      <formula1>D531</formula1>
    </dataValidation>
    <dataValidation type="decimal" errorStyle="stop" operator="lessThanOrEqual" allowBlank="1" showDropDown="1" showInputMessage="0" showErrorMessage="1" error="Skor tidak boleh melebihi skor maksimum!" sqref="H531">
      <formula1>G531</formula1>
    </dataValidation>
    <dataValidation type="decimal" errorStyle="stop" operator="lessThanOrEqual" allowBlank="1" showDropDown="1" showInputMessage="0" showErrorMessage="1" error="Skor tidak boleh melebihi skor maksimum!" sqref="K531">
      <formula1>J531</formula1>
    </dataValidation>
    <dataValidation type="decimal" errorStyle="stop" operator="lessThanOrEqual" allowBlank="1" showDropDown="1" showInputMessage="0" showErrorMessage="1" error="Skor tidak boleh melebihi skor maksimum!" sqref="N531">
      <formula1>M531</formula1>
    </dataValidation>
    <dataValidation type="decimal" errorStyle="stop" operator="lessThanOrEqual" allowBlank="1" showDropDown="1" showInputMessage="0" showErrorMessage="1" error="Skor tidak boleh melebihi skor maksimum!" sqref="Q531">
      <formula1>P531</formula1>
    </dataValidation>
    <dataValidation type="decimal" errorStyle="stop" operator="lessThanOrEqual" allowBlank="1" showDropDown="1" showInputMessage="0" showErrorMessage="1" error="Skor tidak boleh melebihi skor maksimum!" sqref="E532">
      <formula1>D532</formula1>
    </dataValidation>
    <dataValidation type="decimal" errorStyle="stop" operator="lessThanOrEqual" allowBlank="1" showDropDown="1" showInputMessage="0" showErrorMessage="1" error="Skor tidak boleh melebihi skor maksimum!" sqref="H532">
      <formula1>G532</formula1>
    </dataValidation>
    <dataValidation type="decimal" errorStyle="stop" operator="lessThanOrEqual" allowBlank="1" showDropDown="1" showInputMessage="0" showErrorMessage="1" error="Skor tidak boleh melebihi skor maksimum!" sqref="K532">
      <formula1>J532</formula1>
    </dataValidation>
    <dataValidation type="decimal" errorStyle="stop" operator="lessThanOrEqual" allowBlank="1" showDropDown="1" showInputMessage="0" showErrorMessage="1" error="Skor tidak boleh melebihi skor maksimum!" sqref="N532">
      <formula1>M532</formula1>
    </dataValidation>
    <dataValidation type="decimal" errorStyle="stop" operator="lessThanOrEqual" allowBlank="1" showDropDown="1" showInputMessage="0" showErrorMessage="1" error="Skor tidak boleh melebihi skor maksimum!" sqref="Q532">
      <formula1>P532</formula1>
    </dataValidation>
    <dataValidation type="decimal" errorStyle="stop" operator="lessThanOrEqual" allowBlank="1" showDropDown="1" showInputMessage="0" showErrorMessage="1" error="Skor tidak boleh melebihi skor maksimum!" sqref="E533">
      <formula1>D533</formula1>
    </dataValidation>
    <dataValidation type="decimal" errorStyle="stop" operator="lessThanOrEqual" allowBlank="1" showDropDown="1" showInputMessage="0" showErrorMessage="1" error="Skor tidak boleh melebihi skor maksimum!" sqref="H533">
      <formula1>G533</formula1>
    </dataValidation>
    <dataValidation type="decimal" errorStyle="stop" operator="lessThanOrEqual" allowBlank="1" showDropDown="1" showInputMessage="0" showErrorMessage="1" error="Skor tidak boleh melebihi skor maksimum!" sqref="K533">
      <formula1>J533</formula1>
    </dataValidation>
    <dataValidation type="decimal" errorStyle="stop" operator="lessThanOrEqual" allowBlank="1" showDropDown="1" showInputMessage="0" showErrorMessage="1" error="Skor tidak boleh melebihi skor maksimum!" sqref="N533">
      <formula1>M533</formula1>
    </dataValidation>
    <dataValidation type="decimal" errorStyle="stop" operator="lessThanOrEqual" allowBlank="1" showDropDown="1" showInputMessage="0" showErrorMessage="1" error="Skor tidak boleh melebihi skor maksimum!" sqref="Q533">
      <formula1>P533</formula1>
    </dataValidation>
    <dataValidation type="decimal" errorStyle="stop" operator="lessThanOrEqual" allowBlank="1" showDropDown="1" showInputMessage="0" showErrorMessage="1" error="Skor tidak boleh melebihi skor maksimum!" sqref="E534">
      <formula1>D534</formula1>
    </dataValidation>
    <dataValidation type="decimal" errorStyle="stop" operator="lessThanOrEqual" allowBlank="1" showDropDown="1" showInputMessage="0" showErrorMessage="1" error="Skor tidak boleh melebihi skor maksimum!" sqref="H534">
      <formula1>G534</formula1>
    </dataValidation>
    <dataValidation type="decimal" errorStyle="stop" operator="lessThanOrEqual" allowBlank="1" showDropDown="1" showInputMessage="0" showErrorMessage="1" error="Skor tidak boleh melebihi skor maksimum!" sqref="K534">
      <formula1>J534</formula1>
    </dataValidation>
    <dataValidation type="decimal" errorStyle="stop" operator="lessThanOrEqual" allowBlank="1" showDropDown="1" showInputMessage="0" showErrorMessage="1" error="Skor tidak boleh melebihi skor maksimum!" sqref="N534">
      <formula1>M534</formula1>
    </dataValidation>
    <dataValidation type="decimal" errorStyle="stop" operator="lessThanOrEqual" allowBlank="1" showDropDown="1" showInputMessage="0" showErrorMessage="1" error="Skor tidak boleh melebihi skor maksimum!" sqref="Q534">
      <formula1>P534</formula1>
    </dataValidation>
    <dataValidation type="decimal" errorStyle="stop" operator="lessThanOrEqual" allowBlank="1" showDropDown="1" showInputMessage="0" showErrorMessage="1" error="Skor tidak boleh melebihi skor maksimum!" sqref="E535">
      <formula1>D535</formula1>
    </dataValidation>
    <dataValidation type="decimal" errorStyle="stop" operator="lessThanOrEqual" allowBlank="1" showDropDown="1" showInputMessage="0" showErrorMessage="1" error="Skor tidak boleh melebihi skor maksimum!" sqref="H535">
      <formula1>G535</formula1>
    </dataValidation>
    <dataValidation type="decimal" errorStyle="stop" operator="lessThanOrEqual" allowBlank="1" showDropDown="1" showInputMessage="0" showErrorMessage="1" error="Skor tidak boleh melebihi skor maksimum!" sqref="K535">
      <formula1>J535</formula1>
    </dataValidation>
    <dataValidation type="decimal" errorStyle="stop" operator="lessThanOrEqual" allowBlank="1" showDropDown="1" showInputMessage="0" showErrorMessage="1" error="Skor tidak boleh melebihi skor maksimum!" sqref="N535">
      <formula1>M535</formula1>
    </dataValidation>
    <dataValidation type="decimal" errorStyle="stop" operator="lessThanOrEqual" allowBlank="1" showDropDown="1" showInputMessage="0" showErrorMessage="1" error="Skor tidak boleh melebihi skor maksimum!" sqref="Q535">
      <formula1>P535</formula1>
    </dataValidation>
    <dataValidation type="decimal" errorStyle="stop" operator="lessThanOrEqual" allowBlank="1" showDropDown="1" showInputMessage="0" showErrorMessage="1" error="Skor tidak boleh melebihi skor maksimum!" sqref="E536">
      <formula1>D536</formula1>
    </dataValidation>
    <dataValidation type="decimal" errorStyle="stop" operator="lessThanOrEqual" allowBlank="1" showDropDown="1" showInputMessage="0" showErrorMessage="1" error="Skor tidak boleh melebihi skor maksimum!" sqref="H536">
      <formula1>G536</formula1>
    </dataValidation>
    <dataValidation type="decimal" errorStyle="stop" operator="lessThanOrEqual" allowBlank="1" showDropDown="1" showInputMessage="0" showErrorMessage="1" error="Skor tidak boleh melebihi skor maksimum!" sqref="K536">
      <formula1>J536</formula1>
    </dataValidation>
    <dataValidation type="decimal" errorStyle="stop" operator="lessThanOrEqual" allowBlank="1" showDropDown="1" showInputMessage="0" showErrorMessage="1" error="Skor tidak boleh melebihi skor maksimum!" sqref="N536">
      <formula1>M536</formula1>
    </dataValidation>
    <dataValidation type="decimal" errorStyle="stop" operator="lessThanOrEqual" allowBlank="1" showDropDown="1" showInputMessage="0" showErrorMessage="1" error="Skor tidak boleh melebihi skor maksimum!" sqref="Q536">
      <formula1>P536</formula1>
    </dataValidation>
    <dataValidation type="decimal" errorStyle="stop" operator="lessThanOrEqual" allowBlank="1" showDropDown="1" showInputMessage="0" showErrorMessage="1" error="Skor tidak boleh melebihi skor maksimum!" sqref="E537">
      <formula1>D537</formula1>
    </dataValidation>
    <dataValidation type="decimal" errorStyle="stop" operator="lessThanOrEqual" allowBlank="1" showDropDown="1" showInputMessage="0" showErrorMessage="1" error="Skor tidak boleh melebihi skor maksimum!" sqref="H537">
      <formula1>G537</formula1>
    </dataValidation>
    <dataValidation type="decimal" errorStyle="stop" operator="lessThanOrEqual" allowBlank="1" showDropDown="1" showInputMessage="0" showErrorMessage="1" error="Skor tidak boleh melebihi skor maksimum!" sqref="K537">
      <formula1>J537</formula1>
    </dataValidation>
    <dataValidation type="decimal" errorStyle="stop" operator="lessThanOrEqual" allowBlank="1" showDropDown="1" showInputMessage="0" showErrorMessage="1" error="Skor tidak boleh melebihi skor maksimum!" sqref="N537">
      <formula1>M537</formula1>
    </dataValidation>
    <dataValidation type="decimal" errorStyle="stop" operator="lessThanOrEqual" allowBlank="1" showDropDown="1" showInputMessage="0" showErrorMessage="1" error="Skor tidak boleh melebihi skor maksimum!" sqref="Q537">
      <formula1>P537</formula1>
    </dataValidation>
    <dataValidation type="decimal" errorStyle="stop" operator="lessThanOrEqual" allowBlank="1" showDropDown="1" showInputMessage="0" showErrorMessage="1" error="Skor tidak boleh melebihi skor maksimum!" sqref="E538">
      <formula1>D538</formula1>
    </dataValidation>
    <dataValidation type="decimal" errorStyle="stop" operator="lessThanOrEqual" allowBlank="1" showDropDown="1" showInputMessage="0" showErrorMessage="1" error="Skor tidak boleh melebihi skor maksimum!" sqref="H538">
      <formula1>G538</formula1>
    </dataValidation>
    <dataValidation type="decimal" errorStyle="stop" operator="lessThanOrEqual" allowBlank="1" showDropDown="1" showInputMessage="0" showErrorMessage="1" error="Skor tidak boleh melebihi skor maksimum!" sqref="K538">
      <formula1>J538</formula1>
    </dataValidation>
    <dataValidation type="decimal" errorStyle="stop" operator="lessThanOrEqual" allowBlank="1" showDropDown="1" showInputMessage="0" showErrorMessage="1" error="Skor tidak boleh melebihi skor maksimum!" sqref="N538">
      <formula1>M538</formula1>
    </dataValidation>
    <dataValidation type="decimal" errorStyle="stop" operator="lessThanOrEqual" allowBlank="1" showDropDown="1" showInputMessage="0" showErrorMessage="1" error="Skor tidak boleh melebihi skor maksimum!" sqref="Q538">
      <formula1>P538</formula1>
    </dataValidation>
    <dataValidation type="decimal" errorStyle="stop" operator="lessThanOrEqual" allowBlank="1" showDropDown="1" showInputMessage="0" showErrorMessage="1" error="Skor tidak boleh melebihi skor maksimum!" sqref="E539">
      <formula1>D539</formula1>
    </dataValidation>
    <dataValidation type="decimal" errorStyle="stop" operator="lessThanOrEqual" allowBlank="1" showDropDown="1" showInputMessage="0" showErrorMessage="1" error="Skor tidak boleh melebihi skor maksimum!" sqref="H539">
      <formula1>G539</formula1>
    </dataValidation>
    <dataValidation type="decimal" errorStyle="stop" operator="lessThanOrEqual" allowBlank="1" showDropDown="1" showInputMessage="0" showErrorMessage="1" error="Skor tidak boleh melebihi skor maksimum!" sqref="K539">
      <formula1>J539</formula1>
    </dataValidation>
    <dataValidation type="decimal" errorStyle="stop" operator="lessThanOrEqual" allowBlank="1" showDropDown="1" showInputMessage="0" showErrorMessage="1" error="Skor tidak boleh melebihi skor maksimum!" sqref="N539">
      <formula1>M539</formula1>
    </dataValidation>
    <dataValidation type="decimal" errorStyle="stop" operator="lessThanOrEqual" allowBlank="1" showDropDown="1" showInputMessage="0" showErrorMessage="1" error="Skor tidak boleh melebihi skor maksimum!" sqref="Q539">
      <formula1>P539</formula1>
    </dataValidation>
    <dataValidation type="decimal" errorStyle="stop" operator="lessThanOrEqual" allowBlank="1" showDropDown="1" showInputMessage="0" showErrorMessage="1" error="Skor tidak boleh melebihi skor maksimum!" sqref="E540">
      <formula1>D540</formula1>
    </dataValidation>
    <dataValidation type="decimal" errorStyle="stop" operator="lessThanOrEqual" allowBlank="1" showDropDown="1" showInputMessage="0" showErrorMessage="1" error="Skor tidak boleh melebihi skor maksimum!" sqref="H540">
      <formula1>G540</formula1>
    </dataValidation>
    <dataValidation type="decimal" errorStyle="stop" operator="lessThanOrEqual" allowBlank="1" showDropDown="1" showInputMessage="0" showErrorMessage="1" error="Skor tidak boleh melebihi skor maksimum!" sqref="K540">
      <formula1>J540</formula1>
    </dataValidation>
    <dataValidation type="decimal" errorStyle="stop" operator="lessThanOrEqual" allowBlank="1" showDropDown="1" showInputMessage="0" showErrorMessage="1" error="Skor tidak boleh melebihi skor maksimum!" sqref="N540">
      <formula1>M540</formula1>
    </dataValidation>
    <dataValidation type="decimal" errorStyle="stop" operator="lessThanOrEqual" allowBlank="1" showDropDown="1" showInputMessage="0" showErrorMessage="1" error="Skor tidak boleh melebihi skor maksimum!" sqref="Q540">
      <formula1>P540</formula1>
    </dataValidation>
    <dataValidation type="decimal" errorStyle="stop" operator="lessThanOrEqual" allowBlank="1" showDropDown="1" showInputMessage="0" showErrorMessage="1" error="Skor tidak boleh melebihi skor maksimum!" sqref="E541">
      <formula1>D541</formula1>
    </dataValidation>
    <dataValidation type="decimal" errorStyle="stop" operator="lessThanOrEqual" allowBlank="1" showDropDown="1" showInputMessage="0" showErrorMessage="1" error="Skor tidak boleh melebihi skor maksimum!" sqref="H541">
      <formula1>G541</formula1>
    </dataValidation>
    <dataValidation type="decimal" errorStyle="stop" operator="lessThanOrEqual" allowBlank="1" showDropDown="1" showInputMessage="0" showErrorMessage="1" error="Skor tidak boleh melebihi skor maksimum!" sqref="K541">
      <formula1>J541</formula1>
    </dataValidation>
    <dataValidation type="decimal" errorStyle="stop" operator="lessThanOrEqual" allowBlank="1" showDropDown="1" showInputMessage="0" showErrorMessage="1" error="Skor tidak boleh melebihi skor maksimum!" sqref="N541">
      <formula1>M541</formula1>
    </dataValidation>
    <dataValidation type="decimal" errorStyle="stop" operator="lessThanOrEqual" allowBlank="1" showDropDown="1" showInputMessage="0" showErrorMessage="1" error="Skor tidak boleh melebihi skor maksimum!" sqref="Q541">
      <formula1>P541</formula1>
    </dataValidation>
    <dataValidation type="decimal" errorStyle="stop" operator="lessThanOrEqual" allowBlank="1" showDropDown="1" showInputMessage="0" showErrorMessage="1" error="Skor tidak boleh melebihi skor maksimum!" sqref="E542">
      <formula1>D542</formula1>
    </dataValidation>
    <dataValidation type="decimal" errorStyle="stop" operator="lessThanOrEqual" allowBlank="1" showDropDown="1" showInputMessage="0" showErrorMessage="1" error="Skor tidak boleh melebihi skor maksimum!" sqref="H542">
      <formula1>G542</formula1>
    </dataValidation>
    <dataValidation type="decimal" errorStyle="stop" operator="lessThanOrEqual" allowBlank="1" showDropDown="1" showInputMessage="0" showErrorMessage="1" error="Skor tidak boleh melebihi skor maksimum!" sqref="K542">
      <formula1>J542</formula1>
    </dataValidation>
    <dataValidation type="decimal" errorStyle="stop" operator="lessThanOrEqual" allowBlank="1" showDropDown="1" showInputMessage="0" showErrorMessage="1" error="Skor tidak boleh melebihi skor maksimum!" sqref="N542">
      <formula1>M542</formula1>
    </dataValidation>
    <dataValidation type="decimal" errorStyle="stop" operator="lessThanOrEqual" allowBlank="1" showDropDown="1" showInputMessage="0" showErrorMessage="1" error="Skor tidak boleh melebihi skor maksimum!" sqref="Q542">
      <formula1>P542</formula1>
    </dataValidation>
    <dataValidation type="decimal" errorStyle="stop" operator="lessThanOrEqual" allowBlank="1" showDropDown="1" showInputMessage="0" showErrorMessage="1" error="Skor tidak boleh melebihi skor maksimum!" sqref="E543">
      <formula1>D543</formula1>
    </dataValidation>
    <dataValidation type="decimal" errorStyle="stop" operator="lessThanOrEqual" allowBlank="1" showDropDown="1" showInputMessage="0" showErrorMessage="1" error="Skor tidak boleh melebihi skor maksimum!" sqref="H543">
      <formula1>G543</formula1>
    </dataValidation>
    <dataValidation type="decimal" errorStyle="stop" operator="lessThanOrEqual" allowBlank="1" showDropDown="1" showInputMessage="0" showErrorMessage="1" error="Skor tidak boleh melebihi skor maksimum!" sqref="K543">
      <formula1>J543</formula1>
    </dataValidation>
    <dataValidation type="decimal" errorStyle="stop" operator="lessThanOrEqual" allowBlank="1" showDropDown="1" showInputMessage="0" showErrorMessage="1" error="Skor tidak boleh melebihi skor maksimum!" sqref="N543">
      <formula1>M543</formula1>
    </dataValidation>
    <dataValidation type="decimal" errorStyle="stop" operator="lessThanOrEqual" allowBlank="1" showDropDown="1" showInputMessage="0" showErrorMessage="1" error="Skor tidak boleh melebihi skor maksimum!" sqref="Q543">
      <formula1>P543</formula1>
    </dataValidation>
    <dataValidation type="decimal" errorStyle="stop" operator="lessThanOrEqual" allowBlank="1" showDropDown="1" showInputMessage="0" showErrorMessage="1" error="Skor tidak boleh melebihi skor maksimum!" sqref="E544">
      <formula1>D544</formula1>
    </dataValidation>
    <dataValidation type="decimal" errorStyle="stop" operator="lessThanOrEqual" allowBlank="1" showDropDown="1" showInputMessage="0" showErrorMessage="1" error="Skor tidak boleh melebihi skor maksimum!" sqref="H544">
      <formula1>G544</formula1>
    </dataValidation>
    <dataValidation type="decimal" errorStyle="stop" operator="lessThanOrEqual" allowBlank="1" showDropDown="1" showInputMessage="0" showErrorMessage="1" error="Skor tidak boleh melebihi skor maksimum!" sqref="K544">
      <formula1>J544</formula1>
    </dataValidation>
    <dataValidation type="decimal" errorStyle="stop" operator="lessThanOrEqual" allowBlank="1" showDropDown="1" showInputMessage="0" showErrorMessage="1" error="Skor tidak boleh melebihi skor maksimum!" sqref="N544">
      <formula1>M544</formula1>
    </dataValidation>
    <dataValidation type="decimal" errorStyle="stop" operator="lessThanOrEqual" allowBlank="1" showDropDown="1" showInputMessage="0" showErrorMessage="1" error="Skor tidak boleh melebihi skor maksimum!" sqref="Q544">
      <formula1>P544</formula1>
    </dataValidation>
    <dataValidation type="decimal" errorStyle="stop" operator="lessThanOrEqual" allowBlank="1" showDropDown="1" showInputMessage="0" showErrorMessage="1" error="Skor tidak boleh melebihi skor maksimum!" sqref="E545">
      <formula1>D545</formula1>
    </dataValidation>
    <dataValidation type="decimal" errorStyle="stop" operator="lessThanOrEqual" allowBlank="1" showDropDown="1" showInputMessage="0" showErrorMessage="1" error="Skor tidak boleh melebihi skor maksimum!" sqref="H545">
      <formula1>G545</formula1>
    </dataValidation>
    <dataValidation type="decimal" errorStyle="stop" operator="lessThanOrEqual" allowBlank="1" showDropDown="1" showInputMessage="0" showErrorMessage="1" error="Skor tidak boleh melebihi skor maksimum!" sqref="K545">
      <formula1>J545</formula1>
    </dataValidation>
    <dataValidation type="decimal" errorStyle="stop" operator="lessThanOrEqual" allowBlank="1" showDropDown="1" showInputMessage="0" showErrorMessage="1" error="Skor tidak boleh melebihi skor maksimum!" sqref="N545">
      <formula1>M545</formula1>
    </dataValidation>
    <dataValidation type="decimal" errorStyle="stop" operator="lessThanOrEqual" allowBlank="1" showDropDown="1" showInputMessage="0" showErrorMessage="1" error="Skor tidak boleh melebihi skor maksimum!" sqref="Q545">
      <formula1>P545</formula1>
    </dataValidation>
    <dataValidation type="decimal" errorStyle="stop" operator="lessThanOrEqual" allowBlank="1" showDropDown="1" showInputMessage="0" showErrorMessage="1" error="Skor tidak boleh melebihi skor maksimum!" sqref="E546">
      <formula1>D546</formula1>
    </dataValidation>
    <dataValidation type="decimal" errorStyle="stop" operator="lessThanOrEqual" allowBlank="1" showDropDown="1" showInputMessage="0" showErrorMessage="1" error="Skor tidak boleh melebihi skor maksimum!" sqref="H546">
      <formula1>G546</formula1>
    </dataValidation>
    <dataValidation type="decimal" errorStyle="stop" operator="lessThanOrEqual" allowBlank="1" showDropDown="1" showInputMessage="0" showErrorMessage="1" error="Skor tidak boleh melebihi skor maksimum!" sqref="K546">
      <formula1>J546</formula1>
    </dataValidation>
    <dataValidation type="decimal" errorStyle="stop" operator="lessThanOrEqual" allowBlank="1" showDropDown="1" showInputMessage="0" showErrorMessage="1" error="Skor tidak boleh melebihi skor maksimum!" sqref="N546">
      <formula1>M546</formula1>
    </dataValidation>
    <dataValidation type="decimal" errorStyle="stop" operator="lessThanOrEqual" allowBlank="1" showDropDown="1" showInputMessage="0" showErrorMessage="1" error="Skor tidak boleh melebihi skor maksimum!" sqref="Q546">
      <formula1>P546</formula1>
    </dataValidation>
    <dataValidation type="decimal" errorStyle="stop" operator="lessThanOrEqual" allowBlank="1" showDropDown="1" showInputMessage="0" showErrorMessage="1" error="Skor tidak boleh melebihi skor maksimum!" sqref="E547">
      <formula1>D547</formula1>
    </dataValidation>
    <dataValidation type="decimal" errorStyle="stop" operator="lessThanOrEqual" allowBlank="1" showDropDown="1" showInputMessage="0" showErrorMessage="1" error="Skor tidak boleh melebihi skor maksimum!" sqref="H547">
      <formula1>G547</formula1>
    </dataValidation>
    <dataValidation type="decimal" errorStyle="stop" operator="lessThanOrEqual" allowBlank="1" showDropDown="1" showInputMessage="0" showErrorMessage="1" error="Skor tidak boleh melebihi skor maksimum!" sqref="K547">
      <formula1>J547</formula1>
    </dataValidation>
    <dataValidation type="decimal" errorStyle="stop" operator="lessThanOrEqual" allowBlank="1" showDropDown="1" showInputMessage="0" showErrorMessage="1" error="Skor tidak boleh melebihi skor maksimum!" sqref="N547">
      <formula1>M547</formula1>
    </dataValidation>
    <dataValidation type="decimal" errorStyle="stop" operator="lessThanOrEqual" allowBlank="1" showDropDown="1" showInputMessage="0" showErrorMessage="1" error="Skor tidak boleh melebihi skor maksimum!" sqref="Q547">
      <formula1>P547</formula1>
    </dataValidation>
    <dataValidation type="decimal" errorStyle="stop" operator="lessThanOrEqual" allowBlank="1" showDropDown="1" showInputMessage="0" showErrorMessage="1" error="Skor tidak boleh melebihi skor maksimum!" sqref="E548">
      <formula1>D548</formula1>
    </dataValidation>
    <dataValidation type="decimal" errorStyle="stop" operator="lessThanOrEqual" allowBlank="1" showDropDown="1" showInputMessage="0" showErrorMessage="1" error="Skor tidak boleh melebihi skor maksimum!" sqref="H548">
      <formula1>G548</formula1>
    </dataValidation>
    <dataValidation type="decimal" errorStyle="stop" operator="lessThanOrEqual" allowBlank="1" showDropDown="1" showInputMessage="0" showErrorMessage="1" error="Skor tidak boleh melebihi skor maksimum!" sqref="K548">
      <formula1>J548</formula1>
    </dataValidation>
    <dataValidation type="decimal" errorStyle="stop" operator="lessThanOrEqual" allowBlank="1" showDropDown="1" showInputMessage="0" showErrorMessage="1" error="Skor tidak boleh melebihi skor maksimum!" sqref="N548">
      <formula1>M548</formula1>
    </dataValidation>
    <dataValidation type="decimal" errorStyle="stop" operator="lessThanOrEqual" allowBlank="1" showDropDown="1" showInputMessage="0" showErrorMessage="1" error="Skor tidak boleh melebihi skor maksimum!" sqref="Q548">
      <formula1>P548</formula1>
    </dataValidation>
    <dataValidation type="decimal" errorStyle="stop" operator="lessThanOrEqual" allowBlank="1" showDropDown="1" showInputMessage="0" showErrorMessage="1" error="Skor tidak boleh melebihi skor maksimum!" sqref="E549">
      <formula1>D549</formula1>
    </dataValidation>
    <dataValidation type="decimal" errorStyle="stop" operator="lessThanOrEqual" allowBlank="1" showDropDown="1" showInputMessage="0" showErrorMessage="1" error="Skor tidak boleh melebihi skor maksimum!" sqref="H549">
      <formula1>G549</formula1>
    </dataValidation>
    <dataValidation type="decimal" errorStyle="stop" operator="lessThanOrEqual" allowBlank="1" showDropDown="1" showInputMessage="0" showErrorMessage="1" error="Skor tidak boleh melebihi skor maksimum!" sqref="K549">
      <formula1>J549</formula1>
    </dataValidation>
    <dataValidation type="decimal" errorStyle="stop" operator="lessThanOrEqual" allowBlank="1" showDropDown="1" showInputMessage="0" showErrorMessage="1" error="Skor tidak boleh melebihi skor maksimum!" sqref="N549">
      <formula1>M549</formula1>
    </dataValidation>
    <dataValidation type="decimal" errorStyle="stop" operator="lessThanOrEqual" allowBlank="1" showDropDown="1" showInputMessage="0" showErrorMessage="1" error="Skor tidak boleh melebihi skor maksimum!" sqref="Q549">
      <formula1>P549</formula1>
    </dataValidation>
    <dataValidation type="decimal" errorStyle="stop" operator="lessThanOrEqual" allowBlank="1" showDropDown="1" showInputMessage="0" showErrorMessage="1" error="Skor tidak boleh melebihi skor maksimum!" sqref="E550">
      <formula1>D550</formula1>
    </dataValidation>
    <dataValidation type="decimal" errorStyle="stop" operator="lessThanOrEqual" allowBlank="1" showDropDown="1" showInputMessage="0" showErrorMessage="1" error="Skor tidak boleh melebihi skor maksimum!" sqref="H550">
      <formula1>G550</formula1>
    </dataValidation>
    <dataValidation type="decimal" errorStyle="stop" operator="lessThanOrEqual" allowBlank="1" showDropDown="1" showInputMessage="0" showErrorMessage="1" error="Skor tidak boleh melebihi skor maksimum!" sqref="K550">
      <formula1>J550</formula1>
    </dataValidation>
    <dataValidation type="decimal" errorStyle="stop" operator="lessThanOrEqual" allowBlank="1" showDropDown="1" showInputMessage="0" showErrorMessage="1" error="Skor tidak boleh melebihi skor maksimum!" sqref="N550">
      <formula1>M550</formula1>
    </dataValidation>
    <dataValidation type="decimal" errorStyle="stop" operator="lessThanOrEqual" allowBlank="1" showDropDown="1" showInputMessage="0" showErrorMessage="1" error="Skor tidak boleh melebihi skor maksimum!" sqref="Q550">
      <formula1>P550</formula1>
    </dataValidation>
    <dataValidation type="decimal" errorStyle="stop" operator="lessThanOrEqual" allowBlank="1" showDropDown="1" showInputMessage="0" showErrorMessage="1" error="Skor tidak boleh melebihi skor maksimum!" sqref="E551">
      <formula1>D551</formula1>
    </dataValidation>
    <dataValidation type="decimal" errorStyle="stop" operator="lessThanOrEqual" allowBlank="1" showDropDown="1" showInputMessage="0" showErrorMessage="1" error="Skor tidak boleh melebihi skor maksimum!" sqref="H551">
      <formula1>G551</formula1>
    </dataValidation>
    <dataValidation type="decimal" errorStyle="stop" operator="lessThanOrEqual" allowBlank="1" showDropDown="1" showInputMessage="0" showErrorMessage="1" error="Skor tidak boleh melebihi skor maksimum!" sqref="K551">
      <formula1>J551</formula1>
    </dataValidation>
    <dataValidation type="decimal" errorStyle="stop" operator="lessThanOrEqual" allowBlank="1" showDropDown="1" showInputMessage="0" showErrorMessage="1" error="Skor tidak boleh melebihi skor maksimum!" sqref="N551">
      <formula1>M551</formula1>
    </dataValidation>
    <dataValidation type="decimal" errorStyle="stop" operator="lessThanOrEqual" allowBlank="1" showDropDown="1" showInputMessage="0" showErrorMessage="1" error="Skor tidak boleh melebihi skor maksimum!" sqref="Q551">
      <formula1>P551</formula1>
    </dataValidation>
    <dataValidation type="decimal" errorStyle="stop" operator="lessThanOrEqual" allowBlank="1" showDropDown="1" showInputMessage="0" showErrorMessage="1" error="Skor tidak boleh melebihi skor maksimum!" sqref="E552">
      <formula1>D552</formula1>
    </dataValidation>
    <dataValidation type="decimal" errorStyle="stop" operator="lessThanOrEqual" allowBlank="1" showDropDown="1" showInputMessage="0" showErrorMessage="1" error="Skor tidak boleh melebihi skor maksimum!" sqref="H552">
      <formula1>G552</formula1>
    </dataValidation>
    <dataValidation type="decimal" errorStyle="stop" operator="lessThanOrEqual" allowBlank="1" showDropDown="1" showInputMessage="0" showErrorMessage="1" error="Skor tidak boleh melebihi skor maksimum!" sqref="K552">
      <formula1>J552</formula1>
    </dataValidation>
    <dataValidation type="decimal" errorStyle="stop" operator="lessThanOrEqual" allowBlank="1" showDropDown="1" showInputMessage="0" showErrorMessage="1" error="Skor tidak boleh melebihi skor maksimum!" sqref="N552">
      <formula1>M552</formula1>
    </dataValidation>
    <dataValidation type="decimal" errorStyle="stop" operator="lessThanOrEqual" allowBlank="1" showDropDown="1" showInputMessage="0" showErrorMessage="1" error="Skor tidak boleh melebihi skor maksimum!" sqref="Q552">
      <formula1>P552</formula1>
    </dataValidation>
    <dataValidation type="decimal" errorStyle="stop" operator="lessThanOrEqual" allowBlank="1" showDropDown="1" showInputMessage="0" showErrorMessage="1" error="Skor tidak boleh melebihi skor maksimum!" sqref="E553">
      <formula1>D553</formula1>
    </dataValidation>
    <dataValidation type="decimal" errorStyle="stop" operator="lessThanOrEqual" allowBlank="1" showDropDown="1" showInputMessage="0" showErrorMessage="1" error="Skor tidak boleh melebihi skor maksimum!" sqref="H553">
      <formula1>G553</formula1>
    </dataValidation>
    <dataValidation type="decimal" errorStyle="stop" operator="lessThanOrEqual" allowBlank="1" showDropDown="1" showInputMessage="0" showErrorMessage="1" error="Skor tidak boleh melebihi skor maksimum!" sqref="K553">
      <formula1>J553</formula1>
    </dataValidation>
    <dataValidation type="decimal" errorStyle="stop" operator="lessThanOrEqual" allowBlank="1" showDropDown="1" showInputMessage="0" showErrorMessage="1" error="Skor tidak boleh melebihi skor maksimum!" sqref="N553">
      <formula1>M553</formula1>
    </dataValidation>
    <dataValidation type="decimal" errorStyle="stop" operator="lessThanOrEqual" allowBlank="1" showDropDown="1" showInputMessage="0" showErrorMessage="1" error="Skor tidak boleh melebihi skor maksimum!" sqref="Q553">
      <formula1>P553</formula1>
    </dataValidation>
    <dataValidation type="decimal" errorStyle="stop" operator="lessThanOrEqual" allowBlank="1" showDropDown="1" showInputMessage="0" showErrorMessage="1" error="Skor tidak boleh melebihi skor maksimum!" sqref="E554">
      <formula1>D554</formula1>
    </dataValidation>
    <dataValidation type="decimal" errorStyle="stop" operator="lessThanOrEqual" allowBlank="1" showDropDown="1" showInputMessage="0" showErrorMessage="1" error="Skor tidak boleh melebihi skor maksimum!" sqref="H554">
      <formula1>G554</formula1>
    </dataValidation>
    <dataValidation type="decimal" errorStyle="stop" operator="lessThanOrEqual" allowBlank="1" showDropDown="1" showInputMessage="0" showErrorMessage="1" error="Skor tidak boleh melebihi skor maksimum!" sqref="K554">
      <formula1>J554</formula1>
    </dataValidation>
    <dataValidation type="decimal" errorStyle="stop" operator="lessThanOrEqual" allowBlank="1" showDropDown="1" showInputMessage="0" showErrorMessage="1" error="Skor tidak boleh melebihi skor maksimum!" sqref="N554">
      <formula1>M554</formula1>
    </dataValidation>
    <dataValidation type="decimal" errorStyle="stop" operator="lessThanOrEqual" allowBlank="1" showDropDown="1" showInputMessage="0" showErrorMessage="1" error="Skor tidak boleh melebihi skor maksimum!" sqref="Q554">
      <formula1>P554</formula1>
    </dataValidation>
    <dataValidation type="decimal" errorStyle="stop" operator="lessThanOrEqual" allowBlank="1" showDropDown="1" showInputMessage="0" showErrorMessage="1" error="Skor tidak boleh melebihi skor maksimum!" sqref="E555">
      <formula1>D555</formula1>
    </dataValidation>
    <dataValidation type="decimal" errorStyle="stop" operator="lessThanOrEqual" allowBlank="1" showDropDown="1" showInputMessage="0" showErrorMessage="1" error="Skor tidak boleh melebihi skor maksimum!" sqref="H555">
      <formula1>G555</formula1>
    </dataValidation>
    <dataValidation type="decimal" errorStyle="stop" operator="lessThanOrEqual" allowBlank="1" showDropDown="1" showInputMessage="0" showErrorMessage="1" error="Skor tidak boleh melebihi skor maksimum!" sqref="K555">
      <formula1>J555</formula1>
    </dataValidation>
    <dataValidation type="decimal" errorStyle="stop" operator="lessThanOrEqual" allowBlank="1" showDropDown="1" showInputMessage="0" showErrorMessage="1" error="Skor tidak boleh melebihi skor maksimum!" sqref="N555">
      <formula1>M555</formula1>
    </dataValidation>
    <dataValidation type="decimal" errorStyle="stop" operator="lessThanOrEqual" allowBlank="1" showDropDown="1" showInputMessage="0" showErrorMessage="1" error="Skor tidak boleh melebihi skor maksimum!" sqref="Q555">
      <formula1>P555</formula1>
    </dataValidation>
    <dataValidation type="decimal" errorStyle="stop" operator="lessThanOrEqual" allowBlank="1" showDropDown="1" showInputMessage="0" showErrorMessage="1" error="Skor tidak boleh melebihi skor maksimum!" sqref="E556">
      <formula1>D556</formula1>
    </dataValidation>
    <dataValidation type="decimal" errorStyle="stop" operator="lessThanOrEqual" allowBlank="1" showDropDown="1" showInputMessage="0" showErrorMessage="1" error="Skor tidak boleh melebihi skor maksimum!" sqref="H556">
      <formula1>G556</formula1>
    </dataValidation>
    <dataValidation type="decimal" errorStyle="stop" operator="lessThanOrEqual" allowBlank="1" showDropDown="1" showInputMessage="0" showErrorMessage="1" error="Skor tidak boleh melebihi skor maksimum!" sqref="K556">
      <formula1>J556</formula1>
    </dataValidation>
    <dataValidation type="decimal" errorStyle="stop" operator="lessThanOrEqual" allowBlank="1" showDropDown="1" showInputMessage="0" showErrorMessage="1" error="Skor tidak boleh melebihi skor maksimum!" sqref="N556">
      <formula1>M556</formula1>
    </dataValidation>
    <dataValidation type="decimal" errorStyle="stop" operator="lessThanOrEqual" allowBlank="1" showDropDown="1" showInputMessage="0" showErrorMessage="1" error="Skor tidak boleh melebihi skor maksimum!" sqref="Q556">
      <formula1>P556</formula1>
    </dataValidation>
    <dataValidation type="decimal" errorStyle="stop" operator="lessThanOrEqual" allowBlank="1" showDropDown="1" showInputMessage="0" showErrorMessage="1" error="Skor tidak boleh melebihi skor maksimum!" sqref="E557">
      <formula1>D557</formula1>
    </dataValidation>
    <dataValidation type="decimal" errorStyle="stop" operator="lessThanOrEqual" allowBlank="1" showDropDown="1" showInputMessage="0" showErrorMessage="1" error="Skor tidak boleh melebihi skor maksimum!" sqref="H557">
      <formula1>G557</formula1>
    </dataValidation>
    <dataValidation type="decimal" errorStyle="stop" operator="lessThanOrEqual" allowBlank="1" showDropDown="1" showInputMessage="0" showErrorMessage="1" error="Skor tidak boleh melebihi skor maksimum!" sqref="K557">
      <formula1>J557</formula1>
    </dataValidation>
    <dataValidation type="decimal" errorStyle="stop" operator="lessThanOrEqual" allowBlank="1" showDropDown="1" showInputMessage="0" showErrorMessage="1" error="Skor tidak boleh melebihi skor maksimum!" sqref="N557">
      <formula1>M557</formula1>
    </dataValidation>
    <dataValidation type="decimal" errorStyle="stop" operator="lessThanOrEqual" allowBlank="1" showDropDown="1" showInputMessage="0" showErrorMessage="1" error="Skor tidak boleh melebihi skor maksimum!" sqref="Q557">
      <formula1>P557</formula1>
    </dataValidation>
    <dataValidation type="decimal" errorStyle="stop" operator="lessThanOrEqual" allowBlank="1" showDropDown="1" showInputMessage="0" showErrorMessage="1" error="Skor tidak boleh melebihi skor maksimum!" sqref="E558">
      <formula1>D558</formula1>
    </dataValidation>
    <dataValidation type="decimal" errorStyle="stop" operator="lessThanOrEqual" allowBlank="1" showDropDown="1" showInputMessage="0" showErrorMessage="1" error="Skor tidak boleh melebihi skor maksimum!" sqref="H558">
      <formula1>G558</formula1>
    </dataValidation>
    <dataValidation type="decimal" errorStyle="stop" operator="lessThanOrEqual" allowBlank="1" showDropDown="1" showInputMessage="0" showErrorMessage="1" error="Skor tidak boleh melebihi skor maksimum!" sqref="K558">
      <formula1>J558</formula1>
    </dataValidation>
    <dataValidation type="decimal" errorStyle="stop" operator="lessThanOrEqual" allowBlank="1" showDropDown="1" showInputMessage="0" showErrorMessage="1" error="Skor tidak boleh melebihi skor maksimum!" sqref="N558">
      <formula1>M558</formula1>
    </dataValidation>
    <dataValidation type="decimal" errorStyle="stop" operator="lessThanOrEqual" allowBlank="1" showDropDown="1" showInputMessage="0" showErrorMessage="1" error="Skor tidak boleh melebihi skor maksimum!" sqref="Q558">
      <formula1>P558</formula1>
    </dataValidation>
    <dataValidation type="decimal" errorStyle="stop" operator="lessThanOrEqual" allowBlank="1" showDropDown="1" showInputMessage="0" showErrorMessage="1" error="Skor tidak boleh melebihi skor maksimum!" sqref="E559">
      <formula1>D559</formula1>
    </dataValidation>
    <dataValidation type="decimal" errorStyle="stop" operator="lessThanOrEqual" allowBlank="1" showDropDown="1" showInputMessage="0" showErrorMessage="1" error="Skor tidak boleh melebihi skor maksimum!" sqref="H559">
      <formula1>G559</formula1>
    </dataValidation>
    <dataValidation type="decimal" errorStyle="stop" operator="lessThanOrEqual" allowBlank="1" showDropDown="1" showInputMessage="0" showErrorMessage="1" error="Skor tidak boleh melebihi skor maksimum!" sqref="K559">
      <formula1>J559</formula1>
    </dataValidation>
    <dataValidation type="decimal" errorStyle="stop" operator="lessThanOrEqual" allowBlank="1" showDropDown="1" showInputMessage="0" showErrorMessage="1" error="Skor tidak boleh melebihi skor maksimum!" sqref="N559">
      <formula1>M559</formula1>
    </dataValidation>
    <dataValidation type="decimal" errorStyle="stop" operator="lessThanOrEqual" allowBlank="1" showDropDown="1" showInputMessage="0" showErrorMessage="1" error="Skor tidak boleh melebihi skor maksimum!" sqref="Q559">
      <formula1>P559</formula1>
    </dataValidation>
    <dataValidation type="decimal" errorStyle="stop" operator="lessThanOrEqual" allowBlank="1" showDropDown="1" showInputMessage="0" showErrorMessage="1" error="Skor tidak boleh melebihi skor maksimum!" sqref="E560">
      <formula1>D560</formula1>
    </dataValidation>
    <dataValidation type="decimal" errorStyle="stop" operator="lessThanOrEqual" allowBlank="1" showDropDown="1" showInputMessage="0" showErrorMessage="1" error="Skor tidak boleh melebihi skor maksimum!" sqref="H560">
      <formula1>G560</formula1>
    </dataValidation>
    <dataValidation type="decimal" errorStyle="stop" operator="lessThanOrEqual" allowBlank="1" showDropDown="1" showInputMessage="0" showErrorMessage="1" error="Skor tidak boleh melebihi skor maksimum!" sqref="K560">
      <formula1>J560</formula1>
    </dataValidation>
    <dataValidation type="decimal" errorStyle="stop" operator="lessThanOrEqual" allowBlank="1" showDropDown="1" showInputMessage="0" showErrorMessage="1" error="Skor tidak boleh melebihi skor maksimum!" sqref="N560">
      <formula1>M560</formula1>
    </dataValidation>
    <dataValidation type="decimal" errorStyle="stop" operator="lessThanOrEqual" allowBlank="1" showDropDown="1" showInputMessage="0" showErrorMessage="1" error="Skor tidak boleh melebihi skor maksimum!" sqref="Q560">
      <formula1>P560</formula1>
    </dataValidation>
    <dataValidation type="decimal" errorStyle="stop" operator="lessThanOrEqual" allowBlank="1" showDropDown="1" showInputMessage="0" showErrorMessage="1" error="Skor tidak boleh melebihi skor maksimum!" sqref="E561">
      <formula1>D561</formula1>
    </dataValidation>
    <dataValidation type="decimal" errorStyle="stop" operator="lessThanOrEqual" allowBlank="1" showDropDown="1" showInputMessage="0" showErrorMessage="1" error="Skor tidak boleh melebihi skor maksimum!" sqref="H561">
      <formula1>G561</formula1>
    </dataValidation>
    <dataValidation type="decimal" errorStyle="stop" operator="lessThanOrEqual" allowBlank="1" showDropDown="1" showInputMessage="0" showErrorMessage="1" error="Skor tidak boleh melebihi skor maksimum!" sqref="K561">
      <formula1>J561</formula1>
    </dataValidation>
    <dataValidation type="decimal" errorStyle="stop" operator="lessThanOrEqual" allowBlank="1" showDropDown="1" showInputMessage="0" showErrorMessage="1" error="Skor tidak boleh melebihi skor maksimum!" sqref="N561">
      <formula1>M561</formula1>
    </dataValidation>
    <dataValidation type="decimal" errorStyle="stop" operator="lessThanOrEqual" allowBlank="1" showDropDown="1" showInputMessage="0" showErrorMessage="1" error="Skor tidak boleh melebihi skor maksimum!" sqref="Q561">
      <formula1>P561</formula1>
    </dataValidation>
    <dataValidation type="decimal" errorStyle="stop" operator="lessThanOrEqual" allowBlank="1" showDropDown="1" showInputMessage="0" showErrorMessage="1" error="Skor tidak boleh melebihi skor maksimum!" sqref="E562">
      <formula1>D562</formula1>
    </dataValidation>
    <dataValidation type="decimal" errorStyle="stop" operator="lessThanOrEqual" allowBlank="1" showDropDown="1" showInputMessage="0" showErrorMessage="1" error="Skor tidak boleh melebihi skor maksimum!" sqref="H562">
      <formula1>G562</formula1>
    </dataValidation>
    <dataValidation type="decimal" errorStyle="stop" operator="lessThanOrEqual" allowBlank="1" showDropDown="1" showInputMessage="0" showErrorMessage="1" error="Skor tidak boleh melebihi skor maksimum!" sqref="K562">
      <formula1>J562</formula1>
    </dataValidation>
    <dataValidation type="decimal" errorStyle="stop" operator="lessThanOrEqual" allowBlank="1" showDropDown="1" showInputMessage="0" showErrorMessage="1" error="Skor tidak boleh melebihi skor maksimum!" sqref="N562">
      <formula1>M562</formula1>
    </dataValidation>
    <dataValidation type="decimal" errorStyle="stop" operator="lessThanOrEqual" allowBlank="1" showDropDown="1" showInputMessage="0" showErrorMessage="1" error="Skor tidak boleh melebihi skor maksimum!" sqref="Q562">
      <formula1>P562</formula1>
    </dataValidation>
    <dataValidation type="decimal" errorStyle="stop" operator="lessThanOrEqual" allowBlank="1" showDropDown="1" showInputMessage="0" showErrorMessage="1" error="Skor tidak boleh melebihi skor maksimum!" sqref="E563">
      <formula1>D563</formula1>
    </dataValidation>
    <dataValidation type="decimal" errorStyle="stop" operator="lessThanOrEqual" allowBlank="1" showDropDown="1" showInputMessage="0" showErrorMessage="1" error="Skor tidak boleh melebihi skor maksimum!" sqref="H563">
      <formula1>G563</formula1>
    </dataValidation>
    <dataValidation type="decimal" errorStyle="stop" operator="lessThanOrEqual" allowBlank="1" showDropDown="1" showInputMessage="0" showErrorMessage="1" error="Skor tidak boleh melebihi skor maksimum!" sqref="K563">
      <formula1>J563</formula1>
    </dataValidation>
    <dataValidation type="decimal" errorStyle="stop" operator="lessThanOrEqual" allowBlank="1" showDropDown="1" showInputMessage="0" showErrorMessage="1" error="Skor tidak boleh melebihi skor maksimum!" sqref="N563">
      <formula1>M563</formula1>
    </dataValidation>
    <dataValidation type="decimal" errorStyle="stop" operator="lessThanOrEqual" allowBlank="1" showDropDown="1" showInputMessage="0" showErrorMessage="1" error="Skor tidak boleh melebihi skor maksimum!" sqref="Q563">
      <formula1>P563</formula1>
    </dataValidation>
    <dataValidation type="decimal" errorStyle="stop" operator="lessThanOrEqual" allowBlank="1" showDropDown="1" showInputMessage="0" showErrorMessage="1" error="Skor tidak boleh melebihi skor maksimum!" sqref="E564">
      <formula1>D564</formula1>
    </dataValidation>
    <dataValidation type="decimal" errorStyle="stop" operator="lessThanOrEqual" allowBlank="1" showDropDown="1" showInputMessage="0" showErrorMessage="1" error="Skor tidak boleh melebihi skor maksimum!" sqref="H564">
      <formula1>G564</formula1>
    </dataValidation>
    <dataValidation type="decimal" errorStyle="stop" operator="lessThanOrEqual" allowBlank="1" showDropDown="1" showInputMessage="0" showErrorMessage="1" error="Skor tidak boleh melebihi skor maksimum!" sqref="K564">
      <formula1>J564</formula1>
    </dataValidation>
    <dataValidation type="decimal" errorStyle="stop" operator="lessThanOrEqual" allowBlank="1" showDropDown="1" showInputMessage="0" showErrorMessage="1" error="Skor tidak boleh melebihi skor maksimum!" sqref="N564">
      <formula1>M564</formula1>
    </dataValidation>
    <dataValidation type="decimal" errorStyle="stop" operator="lessThanOrEqual" allowBlank="1" showDropDown="1" showInputMessage="0" showErrorMessage="1" error="Skor tidak boleh melebihi skor maksimum!" sqref="Q564">
      <formula1>P564</formula1>
    </dataValidation>
    <dataValidation type="decimal" errorStyle="stop" operator="lessThanOrEqual" allowBlank="1" showDropDown="1" showInputMessage="0" showErrorMessage="1" error="Skor tidak boleh melebihi skor maksimum!" sqref="E565">
      <formula1>D565</formula1>
    </dataValidation>
    <dataValidation type="decimal" errorStyle="stop" operator="lessThanOrEqual" allowBlank="1" showDropDown="1" showInputMessage="0" showErrorMessage="1" error="Skor tidak boleh melebihi skor maksimum!" sqref="H565">
      <formula1>G565</formula1>
    </dataValidation>
    <dataValidation type="decimal" errorStyle="stop" operator="lessThanOrEqual" allowBlank="1" showDropDown="1" showInputMessage="0" showErrorMessage="1" error="Skor tidak boleh melebihi skor maksimum!" sqref="K565">
      <formula1>J565</formula1>
    </dataValidation>
    <dataValidation type="decimal" errorStyle="stop" operator="lessThanOrEqual" allowBlank="1" showDropDown="1" showInputMessage="0" showErrorMessage="1" error="Skor tidak boleh melebihi skor maksimum!" sqref="N565">
      <formula1>M565</formula1>
    </dataValidation>
    <dataValidation type="decimal" errorStyle="stop" operator="lessThanOrEqual" allowBlank="1" showDropDown="1" showInputMessage="0" showErrorMessage="1" error="Skor tidak boleh melebihi skor maksimum!" sqref="Q565">
      <formula1>P565</formula1>
    </dataValidation>
    <dataValidation type="decimal" errorStyle="stop" operator="lessThanOrEqual" allowBlank="1" showDropDown="1" showInputMessage="0" showErrorMessage="1" error="Skor tidak boleh melebihi skor maksimum!" sqref="E566">
      <formula1>D566</formula1>
    </dataValidation>
    <dataValidation type="decimal" errorStyle="stop" operator="lessThanOrEqual" allowBlank="1" showDropDown="1" showInputMessage="0" showErrorMessage="1" error="Skor tidak boleh melebihi skor maksimum!" sqref="H566">
      <formula1>G566</formula1>
    </dataValidation>
    <dataValidation type="decimal" errorStyle="stop" operator="lessThanOrEqual" allowBlank="1" showDropDown="1" showInputMessage="0" showErrorMessage="1" error="Skor tidak boleh melebihi skor maksimum!" sqref="K566">
      <formula1>J566</formula1>
    </dataValidation>
    <dataValidation type="decimal" errorStyle="stop" operator="lessThanOrEqual" allowBlank="1" showDropDown="1" showInputMessage="0" showErrorMessage="1" error="Skor tidak boleh melebihi skor maksimum!" sqref="N566">
      <formula1>M566</formula1>
    </dataValidation>
    <dataValidation type="decimal" errorStyle="stop" operator="lessThanOrEqual" allowBlank="1" showDropDown="1" showInputMessage="0" showErrorMessage="1" error="Skor tidak boleh melebihi skor maksimum!" sqref="Q566">
      <formula1>P566</formula1>
    </dataValidation>
    <dataValidation type="decimal" errorStyle="stop" operator="lessThanOrEqual" allowBlank="1" showDropDown="1" showInputMessage="0" showErrorMessage="1" error="Skor tidak boleh melebihi skor maksimum!" sqref="E567">
      <formula1>D567</formula1>
    </dataValidation>
    <dataValidation type="decimal" errorStyle="stop" operator="lessThanOrEqual" allowBlank="1" showDropDown="1" showInputMessage="0" showErrorMessage="1" error="Skor tidak boleh melebihi skor maksimum!" sqref="H567">
      <formula1>G567</formula1>
    </dataValidation>
    <dataValidation type="decimal" errorStyle="stop" operator="lessThanOrEqual" allowBlank="1" showDropDown="1" showInputMessage="0" showErrorMessage="1" error="Skor tidak boleh melebihi skor maksimum!" sqref="K567">
      <formula1>J567</formula1>
    </dataValidation>
    <dataValidation type="decimal" errorStyle="stop" operator="lessThanOrEqual" allowBlank="1" showDropDown="1" showInputMessage="0" showErrorMessage="1" error="Skor tidak boleh melebihi skor maksimum!" sqref="N567">
      <formula1>M567</formula1>
    </dataValidation>
    <dataValidation type="decimal" errorStyle="stop" operator="lessThanOrEqual" allowBlank="1" showDropDown="1" showInputMessage="0" showErrorMessage="1" error="Skor tidak boleh melebihi skor maksimum!" sqref="Q567">
      <formula1>P567</formula1>
    </dataValidation>
    <dataValidation type="decimal" errorStyle="stop" operator="lessThanOrEqual" allowBlank="1" showDropDown="1" showInputMessage="0" showErrorMessage="1" error="Skor tidak boleh melebihi skor maksimum!" sqref="E568">
      <formula1>D568</formula1>
    </dataValidation>
    <dataValidation type="decimal" errorStyle="stop" operator="lessThanOrEqual" allowBlank="1" showDropDown="1" showInputMessage="0" showErrorMessage="1" error="Skor tidak boleh melebihi skor maksimum!" sqref="H568">
      <formula1>G568</formula1>
    </dataValidation>
    <dataValidation type="decimal" errorStyle="stop" operator="lessThanOrEqual" allowBlank="1" showDropDown="1" showInputMessage="0" showErrorMessage="1" error="Skor tidak boleh melebihi skor maksimum!" sqref="K568">
      <formula1>J568</formula1>
    </dataValidation>
    <dataValidation type="decimal" errorStyle="stop" operator="lessThanOrEqual" allowBlank="1" showDropDown="1" showInputMessage="0" showErrorMessage="1" error="Skor tidak boleh melebihi skor maksimum!" sqref="N568">
      <formula1>M568</formula1>
    </dataValidation>
    <dataValidation type="decimal" errorStyle="stop" operator="lessThanOrEqual" allowBlank="1" showDropDown="1" showInputMessage="0" showErrorMessage="1" error="Skor tidak boleh melebihi skor maksimum!" sqref="Q568">
      <formula1>P568</formula1>
    </dataValidation>
    <dataValidation type="decimal" errorStyle="stop" operator="lessThanOrEqual" allowBlank="1" showDropDown="1" showInputMessage="0" showErrorMessage="1" error="Skor tidak boleh melebihi skor maksimum!" sqref="E569">
      <formula1>D569</formula1>
    </dataValidation>
    <dataValidation type="decimal" errorStyle="stop" operator="lessThanOrEqual" allowBlank="1" showDropDown="1" showInputMessage="0" showErrorMessage="1" error="Skor tidak boleh melebihi skor maksimum!" sqref="H569">
      <formula1>G569</formula1>
    </dataValidation>
    <dataValidation type="decimal" errorStyle="stop" operator="lessThanOrEqual" allowBlank="1" showDropDown="1" showInputMessage="0" showErrorMessage="1" error="Skor tidak boleh melebihi skor maksimum!" sqref="K569">
      <formula1>J569</formula1>
    </dataValidation>
    <dataValidation type="decimal" errorStyle="stop" operator="lessThanOrEqual" allowBlank="1" showDropDown="1" showInputMessage="0" showErrorMessage="1" error="Skor tidak boleh melebihi skor maksimum!" sqref="N569">
      <formula1>M569</formula1>
    </dataValidation>
    <dataValidation type="decimal" errorStyle="stop" operator="lessThanOrEqual" allowBlank="1" showDropDown="1" showInputMessage="0" showErrorMessage="1" error="Skor tidak boleh melebihi skor maksimum!" sqref="Q569">
      <formula1>P569</formula1>
    </dataValidation>
    <dataValidation type="decimal" errorStyle="stop" operator="lessThanOrEqual" allowBlank="1" showDropDown="1" showInputMessage="0" showErrorMessage="1" error="Skor tidak boleh melebihi skor maksimum!" sqref="E570">
      <formula1>D570</formula1>
    </dataValidation>
    <dataValidation type="decimal" errorStyle="stop" operator="lessThanOrEqual" allowBlank="1" showDropDown="1" showInputMessage="0" showErrorMessage="1" error="Skor tidak boleh melebihi skor maksimum!" sqref="H570">
      <formula1>G570</formula1>
    </dataValidation>
    <dataValidation type="decimal" errorStyle="stop" operator="lessThanOrEqual" allowBlank="1" showDropDown="1" showInputMessage="0" showErrorMessage="1" error="Skor tidak boleh melebihi skor maksimum!" sqref="K570">
      <formula1>J570</formula1>
    </dataValidation>
    <dataValidation type="decimal" errorStyle="stop" operator="lessThanOrEqual" allowBlank="1" showDropDown="1" showInputMessage="0" showErrorMessage="1" error="Skor tidak boleh melebihi skor maksimum!" sqref="N570">
      <formula1>M570</formula1>
    </dataValidation>
    <dataValidation type="decimal" errorStyle="stop" operator="lessThanOrEqual" allowBlank="1" showDropDown="1" showInputMessage="0" showErrorMessage="1" error="Skor tidak boleh melebihi skor maksimum!" sqref="Q570">
      <formula1>P570</formula1>
    </dataValidation>
    <dataValidation type="decimal" errorStyle="stop" operator="lessThanOrEqual" allowBlank="1" showDropDown="1" showInputMessage="0" showErrorMessage="1" error="Skor tidak boleh melebihi skor maksimum!" sqref="E571">
      <formula1>D571</formula1>
    </dataValidation>
    <dataValidation type="decimal" errorStyle="stop" operator="lessThanOrEqual" allowBlank="1" showDropDown="1" showInputMessage="0" showErrorMessage="1" error="Skor tidak boleh melebihi skor maksimum!" sqref="H571">
      <formula1>G571</formula1>
    </dataValidation>
    <dataValidation type="decimal" errorStyle="stop" operator="lessThanOrEqual" allowBlank="1" showDropDown="1" showInputMessage="0" showErrorMessage="1" error="Skor tidak boleh melebihi skor maksimum!" sqref="K571">
      <formula1>J571</formula1>
    </dataValidation>
    <dataValidation type="decimal" errorStyle="stop" operator="lessThanOrEqual" allowBlank="1" showDropDown="1" showInputMessage="0" showErrorMessage="1" error="Skor tidak boleh melebihi skor maksimum!" sqref="N571">
      <formula1>M571</formula1>
    </dataValidation>
    <dataValidation type="decimal" errorStyle="stop" operator="lessThanOrEqual" allowBlank="1" showDropDown="1" showInputMessage="0" showErrorMessage="1" error="Skor tidak boleh melebihi skor maksimum!" sqref="Q571">
      <formula1>P571</formula1>
    </dataValidation>
    <dataValidation type="decimal" errorStyle="stop" operator="lessThanOrEqual" allowBlank="1" showDropDown="1" showInputMessage="0" showErrorMessage="1" error="Skor tidak boleh melebihi skor maksimum!" sqref="E572">
      <formula1>D572</formula1>
    </dataValidation>
    <dataValidation type="decimal" errorStyle="stop" operator="lessThanOrEqual" allowBlank="1" showDropDown="1" showInputMessage="0" showErrorMessage="1" error="Skor tidak boleh melebihi skor maksimum!" sqref="H572">
      <formula1>G572</formula1>
    </dataValidation>
    <dataValidation type="decimal" errorStyle="stop" operator="lessThanOrEqual" allowBlank="1" showDropDown="1" showInputMessage="0" showErrorMessage="1" error="Skor tidak boleh melebihi skor maksimum!" sqref="K572">
      <formula1>J572</formula1>
    </dataValidation>
    <dataValidation type="decimal" errorStyle="stop" operator="lessThanOrEqual" allowBlank="1" showDropDown="1" showInputMessage="0" showErrorMessage="1" error="Skor tidak boleh melebihi skor maksimum!" sqref="N572">
      <formula1>M572</formula1>
    </dataValidation>
    <dataValidation type="decimal" errorStyle="stop" operator="lessThanOrEqual" allowBlank="1" showDropDown="1" showInputMessage="0" showErrorMessage="1" error="Skor tidak boleh melebihi skor maksimum!" sqref="Q572">
      <formula1>P572</formula1>
    </dataValidation>
    <dataValidation type="decimal" errorStyle="stop" operator="lessThanOrEqual" allowBlank="1" showDropDown="1" showInputMessage="0" showErrorMessage="1" error="Skor tidak boleh melebihi skor maksimum!" sqref="E573">
      <formula1>D573</formula1>
    </dataValidation>
    <dataValidation type="decimal" errorStyle="stop" operator="lessThanOrEqual" allowBlank="1" showDropDown="1" showInputMessage="0" showErrorMessage="1" error="Skor tidak boleh melebihi skor maksimum!" sqref="H573">
      <formula1>G573</formula1>
    </dataValidation>
    <dataValidation type="decimal" errorStyle="stop" operator="lessThanOrEqual" allowBlank="1" showDropDown="1" showInputMessage="0" showErrorMessage="1" error="Skor tidak boleh melebihi skor maksimum!" sqref="K573">
      <formula1>J573</formula1>
    </dataValidation>
    <dataValidation type="decimal" errorStyle="stop" operator="lessThanOrEqual" allowBlank="1" showDropDown="1" showInputMessage="0" showErrorMessage="1" error="Skor tidak boleh melebihi skor maksimum!" sqref="N573">
      <formula1>M573</formula1>
    </dataValidation>
    <dataValidation type="decimal" errorStyle="stop" operator="lessThanOrEqual" allowBlank="1" showDropDown="1" showInputMessage="0" showErrorMessage="1" error="Skor tidak boleh melebihi skor maksimum!" sqref="Q573">
      <formula1>P573</formula1>
    </dataValidation>
    <dataValidation type="decimal" errorStyle="stop" operator="lessThanOrEqual" allowBlank="1" showDropDown="1" showInputMessage="0" showErrorMessage="1" error="Skor tidak boleh melebihi skor maksimum!" sqref="E574">
      <formula1>D574</formula1>
    </dataValidation>
    <dataValidation type="decimal" errorStyle="stop" operator="lessThanOrEqual" allowBlank="1" showDropDown="1" showInputMessage="0" showErrorMessage="1" error="Skor tidak boleh melebihi skor maksimum!" sqref="H574">
      <formula1>G574</formula1>
    </dataValidation>
    <dataValidation type="decimal" errorStyle="stop" operator="lessThanOrEqual" allowBlank="1" showDropDown="1" showInputMessage="0" showErrorMessage="1" error="Skor tidak boleh melebihi skor maksimum!" sqref="K574">
      <formula1>J574</formula1>
    </dataValidation>
    <dataValidation type="decimal" errorStyle="stop" operator="lessThanOrEqual" allowBlank="1" showDropDown="1" showInputMessage="0" showErrorMessage="1" error="Skor tidak boleh melebihi skor maksimum!" sqref="N574">
      <formula1>M574</formula1>
    </dataValidation>
    <dataValidation type="decimal" errorStyle="stop" operator="lessThanOrEqual" allowBlank="1" showDropDown="1" showInputMessage="0" showErrorMessage="1" error="Skor tidak boleh melebihi skor maksimum!" sqref="Q574">
      <formula1>P574</formula1>
    </dataValidation>
    <dataValidation type="decimal" errorStyle="stop" operator="lessThanOrEqual" allowBlank="1" showDropDown="1" showInputMessage="0" showErrorMessage="1" error="Skor tidak boleh melebihi skor maksimum!" sqref="E575">
      <formula1>D575</formula1>
    </dataValidation>
    <dataValidation type="decimal" errorStyle="stop" operator="lessThanOrEqual" allowBlank="1" showDropDown="1" showInputMessage="0" showErrorMessage="1" error="Skor tidak boleh melebihi skor maksimum!" sqref="H575">
      <formula1>G575</formula1>
    </dataValidation>
    <dataValidation type="decimal" errorStyle="stop" operator="lessThanOrEqual" allowBlank="1" showDropDown="1" showInputMessage="0" showErrorMessage="1" error="Skor tidak boleh melebihi skor maksimum!" sqref="K575">
      <formula1>J575</formula1>
    </dataValidation>
    <dataValidation type="decimal" errorStyle="stop" operator="lessThanOrEqual" allowBlank="1" showDropDown="1" showInputMessage="0" showErrorMessage="1" error="Skor tidak boleh melebihi skor maksimum!" sqref="N575">
      <formula1>M575</formula1>
    </dataValidation>
    <dataValidation type="decimal" errorStyle="stop" operator="lessThanOrEqual" allowBlank="1" showDropDown="1" showInputMessage="0" showErrorMessage="1" error="Skor tidak boleh melebihi skor maksimum!" sqref="Q575">
      <formula1>P575</formula1>
    </dataValidation>
    <dataValidation type="decimal" errorStyle="stop" operator="lessThanOrEqual" allowBlank="1" showDropDown="1" showInputMessage="0" showErrorMessage="1" error="Skor tidak boleh melebihi skor maksimum!" sqref="E576">
      <formula1>D576</formula1>
    </dataValidation>
    <dataValidation type="decimal" errorStyle="stop" operator="lessThanOrEqual" allowBlank="1" showDropDown="1" showInputMessage="0" showErrorMessage="1" error="Skor tidak boleh melebihi skor maksimum!" sqref="H576">
      <formula1>G576</formula1>
    </dataValidation>
    <dataValidation type="decimal" errorStyle="stop" operator="lessThanOrEqual" allowBlank="1" showDropDown="1" showInputMessage="0" showErrorMessage="1" error="Skor tidak boleh melebihi skor maksimum!" sqref="K576">
      <formula1>J576</formula1>
    </dataValidation>
    <dataValidation type="decimal" errorStyle="stop" operator="lessThanOrEqual" allowBlank="1" showDropDown="1" showInputMessage="0" showErrorMessage="1" error="Skor tidak boleh melebihi skor maksimum!" sqref="N576">
      <formula1>M576</formula1>
    </dataValidation>
    <dataValidation type="decimal" errorStyle="stop" operator="lessThanOrEqual" allowBlank="1" showDropDown="1" showInputMessage="0" showErrorMessage="1" error="Skor tidak boleh melebihi skor maksimum!" sqref="Q576">
      <formula1>P576</formula1>
    </dataValidation>
    <dataValidation type="decimal" errorStyle="stop" operator="lessThanOrEqual" allowBlank="1" showDropDown="1" showInputMessage="0" showErrorMessage="1" error="Skor tidak boleh melebihi skor maksimum!" sqref="E577">
      <formula1>D577</formula1>
    </dataValidation>
    <dataValidation type="decimal" errorStyle="stop" operator="lessThanOrEqual" allowBlank="1" showDropDown="1" showInputMessage="0" showErrorMessage="1" error="Skor tidak boleh melebihi skor maksimum!" sqref="H577">
      <formula1>G577</formula1>
    </dataValidation>
    <dataValidation type="decimal" errorStyle="stop" operator="lessThanOrEqual" allowBlank="1" showDropDown="1" showInputMessage="0" showErrorMessage="1" error="Skor tidak boleh melebihi skor maksimum!" sqref="K577">
      <formula1>J577</formula1>
    </dataValidation>
    <dataValidation type="decimal" errorStyle="stop" operator="lessThanOrEqual" allowBlank="1" showDropDown="1" showInputMessage="0" showErrorMessage="1" error="Skor tidak boleh melebihi skor maksimum!" sqref="N577">
      <formula1>M577</formula1>
    </dataValidation>
    <dataValidation type="decimal" errorStyle="stop" operator="lessThanOrEqual" allowBlank="1" showDropDown="1" showInputMessage="0" showErrorMessage="1" error="Skor tidak boleh melebihi skor maksimum!" sqref="Q577">
      <formula1>P577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565</v>
      </c>
      <c r="B1">
        <v>4</v>
      </c>
    </row>
    <row r="2" spans="1:2">
      <c r="A2" t="s">
        <v>566</v>
      </c>
      <c r="B2">
        <v>100</v>
      </c>
    </row>
    <row r="3" spans="1:2">
      <c r="A3" t="s">
        <v>567</v>
      </c>
      <c r="B3">
        <v>3</v>
      </c>
    </row>
    <row r="4" spans="1:2">
      <c r="A4" t="s">
        <v>568</v>
      </c>
      <c r="B4">
        <v>3</v>
      </c>
    </row>
    <row r="5" spans="1:2">
      <c r="A5" t="s">
        <v>569</v>
      </c>
      <c r="B5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inject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2025-12-31T16:11:36+00:00</dcterms:created>
  <dcterms:modified xsi:type="dcterms:W3CDTF">2025-12-31T16:11:36+00:00</dcterms:modified>
  <dc:title>Untitled Spreadsheet</dc:title>
  <dc:description/>
  <dc:subject/>
  <cp:keywords/>
  <cp:category/>
</cp:coreProperties>
</file>